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 Livres Maths\AAA BTS Maths\AAA Maths SIO\02-Calcul Matriciel\"/>
    </mc:Choice>
  </mc:AlternateContent>
  <xr:revisionPtr revIDLastSave="0" documentId="13_ncr:1_{E79D16B1-2CC9-42C5-BCC5-5F351DE666C2}" xr6:coauthVersionLast="47" xr6:coauthVersionMax="47" xr10:uidLastSave="{00000000-0000-0000-0000-000000000000}"/>
  <bookViews>
    <workbookView xWindow="1065" yWindow="-120" windowWidth="19545" windowHeight="11760" activeTab="1" autoFilterDateGrouping="0" xr2:uid="{00000000-000D-0000-FFFF-FFFF00000000}"/>
  </bookViews>
  <sheets>
    <sheet name="Rappels" sheetId="9" r:id="rId1"/>
    <sheet name="Leçon_1" sheetId="7" r:id="rId2"/>
    <sheet name="Pourquoi les matrices 2" sheetId="4" r:id="rId3"/>
  </sheets>
  <definedNames>
    <definedName name="C_01">#REF!</definedName>
    <definedName name="C_104">#REF!</definedName>
    <definedName name="C_32">#REF!</definedName>
    <definedName name="C_40">#REF!</definedName>
    <definedName name="C_48">#REF!</definedName>
    <definedName name="C_64">#REF!</definedName>
    <definedName name="C_80">#REF!</definedName>
    <definedName name="C_96">#REF!</definedName>
    <definedName name="M_2021">#REF!</definedName>
    <definedName name="M_2022_Réalisé">#REF!</definedName>
    <definedName name="M_A" localSheetId="1">Leçon_1!$C$6:$E$8</definedName>
    <definedName name="M_B" localSheetId="1">Leçon_1!$H$6:$J$6</definedName>
    <definedName name="M_C" localSheetId="1">Leçon_1!$H$10:$H$12</definedName>
    <definedName name="M_D" localSheetId="1">Leçon_1!$C$14:$E$16</definedName>
    <definedName name="M_E" localSheetId="1">Leçon_1!$C$18:$E$20</definedName>
    <definedName name="M_F" localSheetId="1">Leçon_1!$H$8:$J$8</definedName>
    <definedName name="M_I" localSheetId="1">Leçon_1!$K$10:$K$12</definedName>
    <definedName name="M_Ind" localSheetId="1">Leçon_1!$C$10:$E$12</definedName>
    <definedName name="M_N" localSheetId="1">Leçon_1!$K$14:$K$16</definedName>
    <definedName name="M_Nulle" localSheetId="1">Leçon_1!$H$18:$J$20</definedName>
    <definedName name="Mat_Colonne">Rappels!$C$8:$C$17</definedName>
    <definedName name="Mat_Ligne">Rappels!$D$7:$M$7</definedName>
    <definedName name="PM1_M_A" localSheetId="2">'Pourquoi les matrices 2'!$C$10:$D$11</definedName>
    <definedName name="PM1_M_A_Inv" localSheetId="2">'Pourquoi les matrices 2'!$C$24:$D$25</definedName>
    <definedName name="PM1_M_B" localSheetId="2">'Pourquoi les matrices 2'!$C$13:$C$14</definedName>
    <definedName name="PM1_M_X" localSheetId="2">'Pourquoi les matrices 2'!$C$16:$C$17</definedName>
    <definedName name="PM1_M_X_Inv">'Pourquoi les matrices 2'!$E$24:$E$25</definedName>
    <definedName name="solver_adj" localSheetId="2" hidden="1">'Pourquoi les matrices 2'!$C$16:$C$17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'Pourquoi les matrices 2'!$M$18</definedName>
    <definedName name="solver_pre" localSheetId="2" hidden="1">0.000001</definedName>
    <definedName name="solver_rbv" localSheetId="2" hidden="1">2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7" l="1" a="1"/>
  <c r="C54" i="7" s="1"/>
  <c r="C47" i="7" a="1"/>
  <c r="C47" i="7" s="1"/>
  <c r="C8" i="9" a="1"/>
  <c r="C8" i="9" s="1"/>
  <c r="I46" i="7" a="1"/>
  <c r="I47" i="7" s="1"/>
  <c r="I46" i="7" l="1"/>
  <c r="C11" i="9"/>
  <c r="C14" i="9"/>
  <c r="C10" i="9"/>
  <c r="C17" i="9"/>
  <c r="C13" i="9"/>
  <c r="C9" i="9"/>
  <c r="C15" i="9"/>
  <c r="C16" i="9"/>
  <c r="C12" i="9"/>
  <c r="E47" i="7"/>
  <c r="D47" i="7"/>
  <c r="I48" i="7"/>
  <c r="K24" i="4" l="1" a="1"/>
  <c r="K24" i="4" s="1"/>
  <c r="W75" i="7" a="1"/>
  <c r="W75" i="7" s="1"/>
  <c r="W63" i="7" a="1"/>
  <c r="W63" i="7" s="1"/>
  <c r="AA58" i="7" a="1"/>
  <c r="AC60" i="7" s="1"/>
  <c r="W53" i="7" a="1"/>
  <c r="W53" i="7" s="1"/>
  <c r="W77" i="7" l="1"/>
  <c r="Y75" i="7"/>
  <c r="X77" i="7"/>
  <c r="W76" i="7"/>
  <c r="Y76" i="7"/>
  <c r="X75" i="7"/>
  <c r="Y77" i="7"/>
  <c r="X76" i="7"/>
  <c r="Y63" i="7"/>
  <c r="X63" i="7"/>
  <c r="AA59" i="7"/>
  <c r="AB60" i="7"/>
  <c r="AB58" i="7"/>
  <c r="AC59" i="7"/>
  <c r="AC58" i="7"/>
  <c r="AC63" i="7" s="1"/>
  <c r="AA60" i="7"/>
  <c r="AA58" i="7"/>
  <c r="AB59" i="7"/>
  <c r="W55" i="7"/>
  <c r="Y53" i="7"/>
  <c r="X55" i="7"/>
  <c r="W54" i="7"/>
  <c r="Y54" i="7"/>
  <c r="X53" i="7"/>
  <c r="Y55" i="7"/>
  <c r="X54" i="7"/>
  <c r="AA63" i="7" l="1"/>
  <c r="AB63" i="7"/>
  <c r="C14" i="7" a="1"/>
  <c r="C14" i="7" s="1"/>
  <c r="C24" i="4" a="1"/>
  <c r="C24" i="4" s="1"/>
  <c r="E24" i="4" s="1" a="1"/>
  <c r="E25" i="4" s="1"/>
  <c r="E22" i="4" a="1"/>
  <c r="E22" i="4" s="1"/>
  <c r="K16" i="4" a="1"/>
  <c r="K16" i="4" s="1"/>
  <c r="I16" i="4" a="1"/>
  <c r="I17" i="4" s="1"/>
  <c r="I16" i="4" l="1"/>
  <c r="E24" i="4"/>
  <c r="I24" i="4" s="1" a="1"/>
  <c r="I24" i="4" l="1"/>
  <c r="I25" i="4"/>
  <c r="M16" i="4" a="1"/>
  <c r="M17" i="4" s="1"/>
  <c r="M16" i="4" l="1"/>
  <c r="M1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<sst xmlns="http://schemas.openxmlformats.org/spreadsheetml/2006/main" count="96" uniqueCount="75">
  <si>
    <t>A</t>
  </si>
  <si>
    <t>B</t>
  </si>
  <si>
    <t>C</t>
  </si>
  <si>
    <t>A*C</t>
  </si>
  <si>
    <t>Toutes les version d'Excel</t>
  </si>
  <si>
    <t>Chapitre 2 : Le calcul matriciel</t>
  </si>
  <si>
    <t>Présentation des Matrices et des Vecteurs</t>
  </si>
  <si>
    <t>Les matrices et les vecteurs permettent de simplifier les calculs dans le cas de problèmes dit linéaires.</t>
  </si>
  <si>
    <t>Rappelez vous :</t>
  </si>
  <si>
    <t>x</t>
  </si>
  <si>
    <t>y</t>
  </si>
  <si>
    <t>3x+4y = 12</t>
  </si>
  <si>
    <t>2x+4y = 15</t>
  </si>
  <si>
    <t>=</t>
  </si>
  <si>
    <t>Vérification</t>
  </si>
  <si>
    <t>En modifiant la valeur de X on essaye de trouver la solution</t>
  </si>
  <si>
    <t>Avec un calcul matriciel facile, on va trouver la solution s'il elle existe …</t>
  </si>
  <si>
    <t>On trouve bien l'égalité</t>
  </si>
  <si>
    <t>De façon concrète à quoi ça sert à quoi ?</t>
  </si>
  <si>
    <t>-</t>
  </si>
  <si>
    <r>
      <t>A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 xml:space="preserve">      </t>
    </r>
  </si>
  <si>
    <t>ALF_M_A_PM1_Inv</t>
  </si>
  <si>
    <t>Norme</t>
  </si>
  <si>
    <t>On peut le faire aussi dans l'autre sens</t>
  </si>
  <si>
    <t>B*A</t>
  </si>
  <si>
    <t>La multiplication des Matrices et des vecteurs par une constante</t>
  </si>
  <si>
    <t>2A</t>
  </si>
  <si>
    <t>3B</t>
  </si>
  <si>
    <t>4C</t>
  </si>
  <si>
    <t>5I</t>
  </si>
  <si>
    <t>Ind</t>
  </si>
  <si>
    <t>E</t>
  </si>
  <si>
    <t>L'addition sur les Matrices et sur les Vecteurs</t>
  </si>
  <si>
    <t>A+E</t>
  </si>
  <si>
    <t>F</t>
  </si>
  <si>
    <t>B+F</t>
  </si>
  <si>
    <t>Que peut on dire de l'addition de vecteur et de matrice ?</t>
  </si>
  <si>
    <t>les propriétés principales</t>
  </si>
  <si>
    <t>T(C)*A</t>
  </si>
  <si>
    <t>La notion de transposition</t>
  </si>
  <si>
    <t>Trans(A)</t>
  </si>
  <si>
    <t>Transpose(C)</t>
  </si>
  <si>
    <t>Qu'est-ce que l'on comprend sur la transposition pour le vecteur ?</t>
  </si>
  <si>
    <t>T(C)*T(A)</t>
  </si>
  <si>
    <t>Que pensez vous  la multiplication de la matrice Unité par un vecteur ?</t>
  </si>
  <si>
    <t>Ind*C</t>
  </si>
  <si>
    <t>La multiplication Matrice - vecteur</t>
  </si>
  <si>
    <t>Que peut on dire de la multiplication d'une matrice avec un vecteur ?</t>
  </si>
  <si>
    <t>Que pensez vous  la multiplication par le vecteur nul quelle que soit la matrice ?</t>
  </si>
  <si>
    <t>Quelques rappels sur Excel</t>
  </si>
  <si>
    <t>Les tables de multiplication</t>
  </si>
  <si>
    <t>N+C</t>
  </si>
  <si>
    <t>M_A</t>
  </si>
  <si>
    <t>M_Ind</t>
  </si>
  <si>
    <t>M_D</t>
  </si>
  <si>
    <t>M_E</t>
  </si>
  <si>
    <t>M_B</t>
  </si>
  <si>
    <t>M_F</t>
  </si>
  <si>
    <t>M_C</t>
  </si>
  <si>
    <t>M_I</t>
  </si>
  <si>
    <t>M_G</t>
  </si>
  <si>
    <t>M_N</t>
  </si>
  <si>
    <t>M_Nulle</t>
  </si>
  <si>
    <t>+</t>
  </si>
  <si>
    <t>C+N</t>
  </si>
  <si>
    <t>Transposéé(A)</t>
  </si>
  <si>
    <t>A*N</t>
  </si>
  <si>
    <t>D*N</t>
  </si>
  <si>
    <t>C*ind</t>
  </si>
  <si>
    <t>A*X</t>
  </si>
  <si>
    <t>PM1_M_B</t>
  </si>
  <si>
    <t>PM1_M_A</t>
  </si>
  <si>
    <t>PM1_M_X</t>
  </si>
  <si>
    <t>PM1_M_X_Inv</t>
  </si>
  <si>
    <t>A*X_Inv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</si>
</sst>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0" xfId="0" quotePrefix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3" xfId="0" applyBorder="1"/>
    <xf numFmtId="0" fontId="0" fillId="0" borderId="15" xfId="0" applyBorder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quotePrefix="1" applyFont="1" applyAlignment="1">
      <alignment horizontal="right"/>
    </xf>
    <xf numFmtId="0" fontId="0" fillId="0" borderId="14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6" fillId="0" borderId="1" xfId="0" applyFont="1" applyBorder="1" applyAlignment="1">
      <alignment horizontal="right" vertical="center"/>
    </xf>
    <xf numFmtId="0" fontId="7" fillId="0" borderId="0" xfId="0" applyFont="1"/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181440</xdr:colOff>
      <xdr:row>2</xdr:row>
      <xdr:rowOff>122415</xdr:rowOff>
    </xdr:from>
    <xdr:to>
      <xdr:col>23</xdr:col>
      <xdr:colOff>20820</xdr:colOff>
      <xdr:row>6</xdr:row>
      <xdr:rowOff>135045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9D2A5563-1BB3-5170-0DDF-E66C575EDD15}"/>
                </a:ext>
              </a:extLst>
            </xdr14:cNvPr>
            <xdr14:cNvContentPartPr/>
          </xdr14:nvContentPartPr>
          <xdr14:nvPr macro=""/>
          <xdr14:xfrm>
            <a:off x="3781890" y="503415"/>
            <a:ext cx="2420655" cy="793680"/>
          </xdr14:xfrm>
        </xdr:contentPart>
      </mc:Choice>
      <mc:Fallback xmlns="">
        <xdr:pic>
          <xdr:nvPicPr>
            <xdr:cNvPr id="13" name="Encre 12">
              <a:extLst>
                <a:ext uri="{FF2B5EF4-FFF2-40B4-BE49-F238E27FC236}">
                  <a16:creationId xmlns:a16="http://schemas.microsoft.com/office/drawing/2014/main" id="{9D2A5563-1BB3-5170-0DDF-E66C575EDD1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22390" y="6726536"/>
              <a:ext cx="2507221" cy="7718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416340</xdr:colOff>
      <xdr:row>17</xdr:row>
      <xdr:rowOff>33240</xdr:rowOff>
    </xdr:from>
    <xdr:to>
      <xdr:col>11</xdr:col>
      <xdr:colOff>15465</xdr:colOff>
      <xdr:row>20</xdr:row>
      <xdr:rowOff>55200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9" name="Encre 28">
              <a:extLst>
                <a:ext uri="{FF2B5EF4-FFF2-40B4-BE49-F238E27FC236}">
                  <a16:creationId xmlns:a16="http://schemas.microsoft.com/office/drawing/2014/main" id="{C7CC8ADF-0284-85E6-AE1E-669A539434BD}"/>
                </a:ext>
              </a:extLst>
            </xdr14:cNvPr>
            <xdr14:cNvContentPartPr/>
          </xdr14:nvContentPartPr>
          <xdr14:nvPr macro=""/>
          <xdr14:xfrm>
            <a:off x="942120" y="6906480"/>
            <a:ext cx="2149920" cy="570600"/>
          </xdr14:xfrm>
        </xdr:contentPart>
      </mc:Choice>
      <mc:Fallback xmlns="">
        <xdr:pic>
          <xdr:nvPicPr>
            <xdr:cNvPr id="29" name="Encre 28">
              <a:extLst>
                <a:ext uri="{FF2B5EF4-FFF2-40B4-BE49-F238E27FC236}">
                  <a16:creationId xmlns:a16="http://schemas.microsoft.com/office/drawing/2014/main" id="{C7CC8ADF-0284-85E6-AE1E-669A539434B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7783" y="6902211"/>
              <a:ext cx="2158595" cy="57913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283176</xdr:colOff>
      <xdr:row>2</xdr:row>
      <xdr:rowOff>102579</xdr:rowOff>
    </xdr:from>
    <xdr:to>
      <xdr:col>23</xdr:col>
      <xdr:colOff>244871</xdr:colOff>
      <xdr:row>16</xdr:row>
      <xdr:rowOff>222097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B7E07B1-2F13-5E30-B605-E07BE1980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4368" y="674079"/>
          <a:ext cx="3427330" cy="4120018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11-23T11:40:49.111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214 1290 25946 0 0,'0'0'6639'0'0,"-1"-1"-6638"0"0,1 0 0 0 0,0 0 0 0 0,-1-1 0 0 0,1 2 0 0 0,0 0 0 0 0,0-1 0 0 0,0 0 0 0 0,-1 0 0 0 0,1-1 1 0 0,0 1-1 0 0,1 0 0 0 0,-1 1 0 0 0,0-1 0 0 0,0 1 0 0 0,0-1 0 0 0,0-1 0 0 0,1 1 0 0 0,0-1 0 0 0,7-7 5 0 0,1 1 1 0 0,0-1-1 0 0,19-11 1 0 0,70-37 2 0 0,-76 46-10 0 0,78-37 5 0 0,1 4 0 0 0,2 5 0 0 0,111-24-1 0 0,327-35 23 0 0,-156 84 4 0 0,-352 15-30 0 0,0 1 1 0 0,-1 3 0 0 0,0 1 0 0 0,0 2-1 0 0,0 1 1 0 0,36 16 0 0 0,-53-20-1 0 0,2 1 0 0 0,-4 2 0 0 0,3-1 0 0 0,-2 1 0 0 0,0 1 0 0 0,-1 2 0 0 0,1-1 0 0 0,-2 1 0 0 0,1 1 0 0 0,-1 0 0 0 0,-1 0 0 0 0,0 2 0 0 0,0 0 0 0 0,-2-1 0 0 0,0 3 0 0 0,11 22 0 0 0,-15-11 4 0 0,-5-27-6 0 0,0 1 0 0 0,0-1 0 0 0,0 1 0 0 0,0-1 0 0 0,0 1 1 0 0,0-1-1 0 0,0 1 0 0 0,0-1 0 0 0,0 1 0 0 0,0-1 0 0 0,0 1 0 0 0,0-1 1 0 0,-1 1-1 0 0,1-1 0 0 0,0 1 0 0 0,0-1 0 0 0,-1 2 0 0 0,1-2 1 0 0,0 1-1 0 0,-1-1 0 0 0,1 0 0 0 0,0 0 0 0 0,-1 1 0 0 0,0-2-147 0 0,1 1 1 0 0,-1 0-1 0 0,1-1 0 0 0,0-1 0 0 0,-1 1 0 0 0,1 1 0 0 0,0-1 0 0 0,0 0 0 0 0,0 0 0 0 0,-1 1 0 0 0,1-1 0 0 0,0 0 1 0 0,0 0-1 0 0,0 0 0 0 0,0 1 0 0 0,0-1 0 0 0,0 0 0 0 0,1-1 0 0 0,-1 2 0 0 0,0-1 0 0 0,2-10-7724 0 0</inkml:trace>
  <inkml:trace contextRef="#ctx0" brushRef="#br0" timeOffset="1219.16">255 927 27262 0 0,'0'0'5188'0'0,"-4"-2"-5152"0"0,2 0-36 0 0,1 2 0 0 0,-1-1 0 0 0,0 1 0 0 0,0-1 0 0 0,1 1-1 0 0,-1 0 1 0 0,0 0 0 0 0,0-1 0 0 0,0 1 0 0 0,2 0 0 0 0,-2 1-1 0 0,0-1 1 0 0,0 0 0 0 0,0 0 0 0 0,1 1 0 0 0,-1-1 0 0 0,-3 3-1 0 0,2-1 1 0 0,0-1-1 0 0,1 2 0 0 0,-1 0 0 0 0,1-1 1 0 0,0 0-1 0 0,1 1 0 0 0,-2 0 0 0 0,1 1 1 0 0,0-2-1 0 0,-2 5 0 0 0,-145 214 9 0 0,114-174-13 0 0,35-47 2 0 0,-1 0 0 0 0,1 0 0 0 0,-1 0 0 0 0,1 1 1 0 0,-1-1-1 0 0,1 1 0 0 0,0-1 0 0 0,-1 1 0 0 0,1 1 0 0 0,0-2 1 0 0,-1 1-1 0 0,1-1 0 0 0,0 1 0 0 0,0 0 0 0 0,0-1 1 0 0,-1 0-1 0 0,1 1 0 0 0,0-1 0 0 0,0 2 0 0 0,0-1 0 0 0,0-1 1 0 0,0 1-1 0 0,0-1 0 0 0,0 1 0 0 0,0 0 0 0 0,1-1 1 0 0,-1 1-1 0 0,0 0 0 0 0,0-1 0 0 0,1 2 0 0 0,0-2 4 0 0,0 1 0 0 0,0 0 0 0 0,0-1 0 0 0,0 2 0 0 0,0-2 0 0 0,0 0 0 0 0,1 0 0 0 0,-1 1 0 0 0,0-1 0 0 0,0 0 0 0 0,1 1 0 0 0,-2-1 0 0 0,1 0 0 0 0,3 0 0 0 0,51-5 93 0 0,-49 4-99 0 0,17-2 18 0 0,-3 1 0 0 0,2 1 0 0 0,1 1 0 0 0,-1 1 0 0 0,-1 0 0 0 0,0 2 0 0 0,1 2 0 0 0,28 8 0 0 0,-27-5-845 0 0,-1 1 0 0 0,25 16 0 0 0,-34-20-6157 0 0</inkml:trace>
  <inkml:trace contextRef="#ctx0" brushRef="#br0" timeOffset="3136.67">2683 552 31067 0 0,'3'-17'457'0'0,"-2"22"-2"0"0,-1 29-226 0 0,0-34-239 0 0,3 192 236 0 0,-2 73-233 0 0,-1-205-64 0 0,0-37 51 0 0,2-21 12 0 0,2-6 35 0 0,2-9 19 0 0,3-32-47 0 0,-3 0 0 0 0,3-83 1 0 0,-5 49-111 0 0,1-77-72 0 0,-5 98 240 0 0,2 0 0 0 0,3 1 0 0 0,11-59-1 0 0,-15 112-49 0 0,0 1-1 0 0,0-1 0 0 0,0 0 1 0 0,0 1-1 0 0,0-1 1 0 0,1 1-1 0 0,-1-1 0 0 0,1 0 1 0 0,0 2-1 0 0,0-2 0 0 0,0 2 1 0 0,0-2-1 0 0,0 2 0 0 0,0-1 1 0 0,1 1-1 0 0,5-4 1 0 0,-5 4-6 0 0,0 0 1 0 0,1 1-1 0 0,-1 1 0 0 0,0-1 1 0 0,-1 1-1 0 0,0-1 1 0 0,1 1-1 0 0,1-2 1 0 0,-1 2-1 0 0,0 0 1 0 0,1 0-1 0 0,-1 2 0 0 0,0-2 1 0 0,0 1-1 0 0,0-1 1 0 0,0 1-1 0 0,0-1 1 0 0,0 1-1 0 0,4 4 1 0 0,22 6 1 0 0,-18-6-6 0 0,-2-1-1 0 0,1 0 1 0 0,1 1-1 0 0,13 11 1 0 0,-21-14-2 0 0,0 1 1 0 0,-1-1-1 0 0,1 1 1 0 0,0-1 0 0 0,-2 2-1 0 0,1-2 1 0 0,0 2-1 0 0,0-2 1 0 0,0 2-1 0 0,0-1 1 0 0,-1 0-1 0 0,1 0 1 0 0,-1 1 0 0 0,0 0-1 0 0,0-2 1 0 0,0 3-1 0 0,0-3 1 0 0,-1 3-1 0 0,1 4 1 0 0,-1 72 8 0 0,-20 158 0 0 0,11-152-19 0 0,-2 14-73 0 0,1-31-39 0 0,1 78-1 0 0,9-146 144 0 0,0 0 0 0 0,0 0 0 0 0,0 0 0 0 0,0-1 0 0 0,1 2 1 0 0,-1-2-1 0 0,1 2 0 0 0,-1-1 0 0 0,1-1 0 0 0,-1 0 0 0 0,1 2 0 0 0,0-2 0 0 0,0 1 0 0 0,0-1 1 0 0,0 1-1 0 0,-1-1 0 0 0,1 1 0 0 0,0 0 0 0 0,0-1 0 0 0,3 3 0 0 0,-3-3-82 0 0,0-1 0 0 0,0 1 1 0 0,0-1-1 0 0,0 0 0 0 0,0 1 0 0 0,0-1 0 0 0,0 0 0 0 0,0 0 0 0 0,-1 0 1 0 0,1 0-1 0 0,0 0 0 0 0,0 0 0 0 0,0 0 0 0 0,0 0 0 0 0,2 0 1 0 0,18-13-4932 0 0,-12 4 956 0 0</inkml:trace>
  <inkml:trace contextRef="#ctx0" brushRef="#br0" timeOffset="4182.56">3307 933 28619 0 0,'6'-24'3337'0'0,"9"-9"-2785"0"0,-7 66-509 0 0,-8-15-35 0 0,0 1 1 0 0,-1 0-1 0 0,-1-1 0 0 0,-1 1 0 0 0,0-2 1 0 0,-10 35-1 0 0,6-31-21 0 0,-1 0 0 0 0,-1 0 0 0 0,-1 0 0 0 0,1-2 1 0 0,-3 0-1 0 0,-1-1 0 0 0,1 1 0 0 0,-1-1 0 0 0,-18 16 0 0 0,28-31 17 0 0,0 1 0 0 0,-1-1-1 0 0,0 0 1 0 0,0 0-1 0 0,0 0 1 0 0,-1-1 0 0 0,0 1-1 0 0,0-1 1 0 0,2-1-1 0 0,-9 4 1 0 0,10-5-5 0 0,1 0 0 0 0,-1 1 1 0 0,2-1-1 0 0,-2 0 0 0 0,1-1 0 0 0,-1 1 0 0 0,0 0 0 0 0,1 0 0 0 0,-1-1 1 0 0,1 1-1 0 0,0-1 0 0 0,0 1 0 0 0,0-1 0 0 0,-1 1 0 0 0,1-2 0 0 0,0 1 1 0 0,-1 0-1 0 0,1 1 0 0 0,0-1 0 0 0,0 0 0 0 0,-1-1 0 0 0,1 1 0 0 0,0 0 1 0 0,0 0-1 0 0,0 1 0 0 0,1-3 0 0 0,-1 2 0 0 0,0 0 0 0 0,0-1 0 0 0,1 1 1 0 0,-1 0-1 0 0,1-1 0 0 0,-1 1 0 0 0,1-2 0 0 0,0 3 0 0 0,-1-2 1 0 0,1-2-1 0 0,-2-9 5 0 0,0 0 0 0 0,1-1 0 0 0,0 1 0 0 0,1 0 0 0 0,1-1 0 0 0,0 1 0 0 0,4-20 0 0 0,27-91 63 0 0,-22 85-64 0 0,-8 35-1 0 0,0-5-3 0 0,1-2-1 0 0,0 2 1 0 0,0 0 0 0 0,1-1-1 0 0,7-8 1 0 0,-11 16 0 0 0,1 0 1 0 0,0 1-1 0 0,0 0 0 0 0,0 0 1 0 0,0 0-1 0 0,0 0 1 0 0,0 0-1 0 0,0 0 0 0 0,1 1 1 0 0,-1-1-1 0 0,-1 0 0 0 0,1 1 1 0 0,1-2-1 0 0,-1 2 1 0 0,-1 0-1 0 0,2 0 0 0 0,2-1 1 0 0,-2 1 0 0 0,-1 0 0 0 0,1 0 0 0 0,0 1 0 0 0,0-1 1 0 0,-1 0-1 0 0,1 0 0 0 0,0 2 0 0 0,-1-2 0 0 0,1 1 0 0 0,0 0 0 0 0,-1 0 1 0 0,1 0-1 0 0,-1 0 0 0 0,1 0 0 0 0,-2 0 0 0 0,1 0 0 0 0,1 1 1 0 0,0 1-1 0 0,10 13 4 0 0,0 2 0 0 0,-1-1 1 0 0,0 0-1 0 0,-2 2 0 0 0,-1-1 1 0 0,0 3-1 0 0,9 24 0 0 0,-10-21-7 0 0,1-1 0 0 0,2-2 0 0 0,-1 2 0 0 0,25 37 0 0 0,-31-57 0 0 0,0 0 0 0 0,0 0 0 0 0,0 1 0 0 0,0-2 0 0 0,0 2 0 0 0,1-2 0 0 0,-1 0 0 0 0,0 0 0 0 0,0 1 0 0 0,0-2 0 0 0,1 1 0 0 0,8 3 0 0 0,-10-5-3 0 0,0 0 1 0 0,0 0-1 0 0,0 1 0 0 0,0-1 1 0 0,0 0-1 0 0,1 0 0 0 0,-1 0 1 0 0,0-1-1 0 0,1 1 0 0 0,-1 0 0 0 0,0 0 1 0 0,0 0-1 0 0,0-1 0 0 0,0 0 1 0 0,0-1-1 0 0,0 1 0 0 0,-1 0 1 0 0,1 0-1 0 0,0 0 0 0 0,0-1 0 0 0,0 1 1 0 0,-1-1-1 0 0,1 1 0 0 0,3-4 1 0 0,2-6-603 0 0,1 1 1 0 0,-3-2-1 0 0,1 1 1 0 0,0-1 0 0 0,4-13-1 0 0,-3 3-3547 0 0</inkml:trace>
  <inkml:trace contextRef="#ctx0" brushRef="#br0" timeOffset="4183.56">3593 0 30367 0 0,'13'60'2193'0'0,"10"74"-2154"0"0,10 228-1 0 0,-24-239-43 0 0,-1 5-8 0 0,10 123-105 0 0,-11-200 23 0 0,16 59-1 0 0,-12-83 135 0 0,-11-27-38 0 0,0 2 0 0 0,0-2 1 0 0,0 0-1 0 0,1 0 0 0 0,-1 0 0 0 0,0 0 0 0 0,0 0 1 0 0,0 0-1 0 0,0 0 0 0 0,0 0 0 0 0,0 0 1 0 0,0 0-1 0 0,0 0 0 0 0,0 0 0 0 0,0 0 1 0 0,0 0-1 0 0,0 0 0 0 0,0 0 0 0 0,0 0 1 0 0,1 0-1 0 0,-1 0 0 0 0,0 0 0 0 0,0 0 0 0 0,0 0 1 0 0,0 0-1 0 0,0 0 0 0 0,0 0 0 0 0,0 0 1 0 0,0 0-1 0 0,0 0 0 0 0,1 0 0 0 0,-1 0 1 0 0,0 0-1 0 0,0 0 0 0 0,0 0 0 0 0,0 0 1 0 0,0 0-1 0 0,0 0 0 0 0,0 0 0 0 0,0 0 0 0 0,0 0 1 0 0,0 0-1 0 0,0 0 0 0 0,1 0 0 0 0,-1 0 1 0 0,0 0-1 0 0,0 0 0 0 0,0 0 0 0 0,0 0 1 0 0,0 0-1 0 0,0 0 0 0 0,0 0 0 0 0,0 0 1 0 0,0 0-1 0 0,0-2 0 0 0,0 2 0 0 0,0 0 0 0 0,0 0 1 0 0,0 0-1 0 0,0 0 0 0 0,0 0 0 0 0,0 0 1 0 0,0 0-1 0 0,0 0 0 0 0,0 0 0 0 0,-2-18 9 0 0,-1 1-39 0 0,-22-139-338 0 0,23 136 426 0 0,1 0 0 0 0,0-1 0 0 0,2 0 0 0 0,0 0 0 0 0,5-32 0 0 0,-4 46-47 0 0,0 1-1 0 0,1-1 0 0 0,0 1 1 0 0,-1-1-1 0 0,1 1 0 0 0,0-1 1 0 0,1 2-1 0 0,0-1 0 0 0,0 1 0 0 0,0-1 1 0 0,1 2-1 0 0,0-1 0 0 0,0 0 1 0 0,0 1-1 0 0,-1 0 0 0 0,2 0 1 0 0,0 0-1 0 0,0 1 0 0 0,0-1 1 0 0,8-2-1 0 0,-3 2-33 0 0,0-1 0 0 0,0 3 0 0 0,0-2-1 0 0,0 2 1 0 0,0 2 0 0 0,1-1 0 0 0,-1-1 0 0 0,0 2 0 0 0,1 0 0 0 0,-1 2-1 0 0,14 1 1 0 0,-19 1-1398 0 0,1-3-4256 0 0</inkml:trace>
  <inkml:trace contextRef="#ctx0" brushRef="#br0" timeOffset="6253.9">3960 1267 30863 0 0,'-11'-7'1794'0'0,"10"6"-1790"0"0,10 2 11 0 0,49 8-10 0 0,-33-4 0 0 0,-2-1-1 0 0,27 0 1 0 0,62-16-78 0 0,-125 18-3442 0 0,6-5-4638 0 0</inkml:trace>
  <inkml:trace contextRef="#ctx0" brushRef="#br0" timeOffset="7472.99">4563 301 30815 0 0,'0'0'1074'0'0,"0"-8"-781"0"0,0-24-194 0 0,0 31-87 0 0,1-1 0 0 0,-1 1 0 0 0,0 0-1 0 0,0 0 1 0 0,0-1 0 0 0,-1 1 0 0 0,1 0-1 0 0,0-1 1 0 0,0 1 0 0 0,-1 0 0 0 0,1 0 0 0 0,-1-2-1 0 0,1 2 1 0 0,-1 1 0 0 0,1-1 0 0 0,-1 0-1 0 0,0-1 1 0 0,0 1 0 0 0,1 0 0 0 0,-1 0 0 0 0,0 1-1 0 0,0-1 1 0 0,0-1 0 0 0,0 1 0 0 0,0 0-1 0 0,1 1 1 0 0,-2-2 0 0 0,1 4-14 0 0,0 0 1 0 0,0 1-1 0 0,0-2 1 0 0,0 1-1 0 0,1 1 0 0 0,-1-2 1 0 0,1 1-1 0 0,-1 1 1 0 0,1 0-1 0 0,0-1 0 0 0,0 3 1 0 0,0-3 1 0 0,-8 291 20 0 0,8-113-14 0 0,-1-147-8 0 0,0 358-67 0 0,2-368 60 0 0,1 0 0 0 0,9 37 0 0 0,-11-56 7 0 0,1 1 0 0 0,1 0 1 0 0,-1-2-1 0 0,-1 3 0 0 0,1-2 0 0 0,1 0 1 0 0,0 0-1 0 0,0 0 0 0 0,1 0 0 0 0,-1-1 1 0 0,1 2-1 0 0,0-2 0 0 0,0 0 0 0 0,0 0 0 0 0,1 1 1 0 0,-1-1-1 0 0,0-1 0 0 0,1 2 0 0 0,-1-2 1 0 0,5 3-1 0 0,-5-5 2 0 0,0 1 0 0 0,1-1 0 0 0,-1 0 0 0 0,0 0 0 0 0,0 0 0 0 0,0 0 0 0 0,1-1 0 0 0,-1 1 0 0 0,1-1 0 0 0,-1 0 0 0 0,0 0 0 0 0,0-1 0 0 0,0 1 0 0 0,-1 0 0 0 0,1-2 0 0 0,0 2 0 0 0,0 0 0 0 0,-1-1 0 0 0,1-1 0 0 0,0 1 0 0 0,2-3 0 0 0,8-8-2 0 0,-1-1-1 0 0,17-22 0 0 0,-27 35 0 0 0,9-14-8 0 0,70-103-202 0 0,-74 107 202 0 0,-2 0 0 0 0,0-1 0 0 0,1 0 0 0 0,-1-1 0 0 0,-1 0 0 0 0,0 1-1 0 0,0-1 1 0 0,1-23 0 0 0,-5 10 104 0 0,0 25-86 0 0,0 17-26 0 0,0 16 51 0 0,1 2 0 0 0,1 0 1 0 0,3 0-1 0 0,0-2 0 0 0,13 43 0 0 0,-18-73-45 0 0,0-1 0 0 0,0 1-1 0 0,1 0 1 0 0,0 0 0 0 0,0-1-1 0 0,-1 2 1 0 0,1-1 0 0 0,0-2-1 0 0,1 3 1 0 0,-1-2 0 0 0,0 1-1 0 0,0-1 1 0 0,1 1 0 0 0,-1-1-1 0 0,0 0 1 0 0,1 0 0 0 0,0 2-1 0 0,-1-3 1 0 0,1 1 0 0 0,3 1-1 0 0,-4-2 50 0 0,0 0 0 0 0,1 0-1 0 0,-1 0 1 0 0,1 0-1 0 0,-1 0 1 0 0,1 0-1 0 0,0-1 1 0 0,0 1-1 0 0,-1 0 1 0 0,1-1-1 0 0,-1 0 1 0 0,1 1 0 0 0,0 0-1 0 0,-1-2 1 0 0,1 1-1 0 0,-1 0 1 0 0,0 0-1 0 0,3-1 1 0 0,1-2-245 0 0,-1-1 1 0 0,0-1 0 0 0,0 2-1 0 0,7-11 1 0 0,7-21-5226 0 0,-13 16 46 0 0</inkml:trace>
  <inkml:trace contextRef="#ctx0" brushRef="#br0" timeOffset="7473.99">4887 708 32463 0 0,'0'0'156'0'0</inkml:trace>
  <inkml:trace contextRef="#ctx0" brushRef="#br0" timeOffset="8289.54">5296 896 31463 0 0,'2'-9'181'0'0,"9"-39"532"0"0,-10 13-527 0 0,-1 33-185 0 0,-1 1 1 0 0,1 1-1 0 0,0 0 0 0 0,-1-1 1 0 0,1 0-1 0 0,-1 0 1 0 0,1-1-1 0 0,-1 2 0 0 0,1-1 1 0 0,-1 0-1 0 0,1 1 0 0 0,-1-1 1 0 0,0 1-1 0 0,1 0 1 0 0,-1-2-1 0 0,0 2 0 0 0,0-1 1 0 0,0 1-1 0 0,1-1 0 0 0,-1 1 1 0 0,0 0-1 0 0,0-1 1 0 0,1 1-1 0 0,-1 0 0 0 0,0 0 1 0 0,0 0-1 0 0,1 0 0 0 0,-1-1 1 0 0,0 1-1 0 0,0 0 1 0 0,0 0-1 0 0,0 1 0 0 0,-2-1 1 0 0,-28 6-21 0 0,21 0 15 0 0,1-1 1 0 0,0 0-1 0 0,0 1 1 0 0,0 1-1 0 0,1 0 1 0 0,0 0-1 0 0,0 1 1 0 0,0 0-1 0 0,2 0 1 0 0,-1 0-1 0 0,-8 12 1 0 0,3 2 4 0 0,-2 1 1 0 0,2 0 0 0 0,-16 43 0 0 0,22-46-3 0 0,-1 1 1 0 0,-7 36-1 0 0,14-49-3 0 0,-1-1 0 0 0,0 0 0 0 0,1 0 0 0 0,0 0 0 0 0,0 0 0 0 0,0 0 0 0 0,1 1 0 0 0,0-2 0 0 0,-1 1 0 0 0,2 0 0 0 0,0-1 0 0 0,4 10 0 0 0,-5-14-9 0 0,0 0 1 0 0,0 1 0 0 0,0 0-1 0 0,1-2 1 0 0,-1 0-1 0 0,1 2 1 0 0,0-1 0 0 0,-1 0-1 0 0,0-1 1 0 0,1 1 0 0 0,0-1-1 0 0,0 1 1 0 0,0 0 0 0 0,0-2-1 0 0,0 1 1 0 0,0 0-1 0 0,1 0 1 0 0,-1 1 0 0 0,0-1-1 0 0,0-1 1 0 0,2 1 0 0 0,0-1 9 0 0,1 0 1 0 0,-1 0 0 0 0,1 0-1 0 0,-1-1 1 0 0,1 1 0 0 0,-1-1 0 0 0,0-1-1 0 0,0 0 1 0 0,-1 1 0 0 0,8-4 0 0 0,1-1 27 0 0,-1 0 0 0 0,0-2 0 0 0,-1 1 1 0 0,-1-1-1 0 0,2-1 0 0 0,14-19 1 0 0,-22 25-21 0 0,0 0 0 0 0,0 0 1 0 0,-1-1-1 0 0,1 2 0 0 0,-1-3 0 0 0,0 2 1 0 0,-1-1-1 0 0,1 0 0 0 0,0 0 1 0 0,-1 0-1 0 0,1 0 0 0 0,-1-1 1 0 0,0 1-1 0 0,0 0 0 0 0,-1 0 0 0 0,1-1 1 0 0,-1 2-1 0 0,0-8 0 0 0,4 36-166 0 0,7 4 177 0 0,78 199 64 0 0,-67-165-65 0 0,24 113 0 0 0,-41-141-14 0 0,0 0 0 0 0,-1 1 0 0 0,-2-1 0 0 0,-4 66 0 0 0,-1-75 0 0 0,-1 0 0 0 0,-1 0 0 0 0,0-1 0 0 0,-3 0 0 0 0,0 0 0 0 0,-2-1 0 0 0,-16 35 0 0 0,22-50-6 0 0,0 0 0 0 0,-2 0-1 0 0,1-2 1 0 0,-1 2 0 0 0,0-2-1 0 0,0 0 1 0 0,-1 0 0 0 0,-1-1-1 0 0,1 0 1 0 0,0 1-1 0 0,0-2 1 0 0,-11 5 0 0 0,12-6 6 0 0,1-3 0 0 0,-1 2 1 0 0,1-1-1 0 0,-1-1 0 0 0,0 0 1 0 0,1 1-1 0 0,-1-2 0 0 0,-1 1 1 0 0,1-1-1 0 0,0 0 0 0 0,1-1 0 0 0,-1 1 1 0 0,0-2-1 0 0,0 2 0 0 0,0-2 1 0 0,0 1-1 0 0,1-2 0 0 0,-1 2 1 0 0,1-3-1 0 0,-7-2 0 0 0,2 0 10 0 0,0-1 0 0 0,0-1-1 0 0,2-1 1 0 0,-2 1-1 0 0,1-1 1 0 0,0 0 0 0 0,2-1-1 0 0,0-1 1 0 0,0 1-1 0 0,0-1 1 0 0,1 0 0 0 0,0-1-1 0 0,0 1 1 0 0,1-1-1 0 0,-4-18 1 0 0,4 8 3 0 0,-1-1 0 0 0,2 2 0 0 0,0-1 0 0 0,2-1 0 0 0,0 0 0 0 0,2 0 0 0 0,0 0 0 0 0,4-24 0 0 0,-1 32-2 0 0,0 1-1 0 0,2-1 0 0 0,-1 1 0 0 0,1 0 1 0 0,0 1-1 0 0,1 0 0 0 0,1-1 1 0 0,1 1-1 0 0,-1 1 0 0 0,2 0 0 0 0,-1 0 1 0 0,1 1-1 0 0,1 0 0 0 0,0 1 1 0 0,20-16-1 0 0,13-7-701 0 0,2 1 0 0 0,82-40 0 0 0,-117 65 386 0 0,14-6-3803 0 0,-2 2-1197 0 0</inkml:trace>
  <inkml:trace contextRef="#ctx0" brushRef="#br0" timeOffset="8290.54">5608 972 31059 0 0,'0'233'1726'0'0,"0"-76"-4951"0"0,0-157 3155 0 0,0 0 1 0 0,0 1-1 0 0,0-1 1 0 0,0 1-1 0 0,0-1 0 0 0,0 0 1 0 0,0 1-1 0 0,0-1 0 0 0,0 1 1 0 0,0-1-1 0 0,0 0 1 0 0,0 1-1 0 0,0-1 0 0 0,0 1 1 0 0,0-1-1 0 0,1 0 0 0 0,-1 1 1 0 0,0-1-1 0 0,0 1 1 0 0,0-1-1 0 0,1 0 0 0 0,-1 1 1 0 0,0-1-1 0 0,0 0 0 0 0,1 0 1 0 0,-1 1-1 0 0,0-1 1 0 0,1 0-1 0 0,-1 2 0 0 0,1-2 1 0 0,9-8 1892 0 0,6-19 106 0 0,86-203-1193 0 0,-37 75-228 0 0,-65 155-506 0 0,0 0 0 0 0,0 0-1 0 0,0 0 1 0 0,0 1 0 0 0,0-1 0 0 0,0 0-1 0 0,0 0 1 0 0,0 0 0 0 0,0 0 0 0 0,0 0-1 0 0,1 1 1 0 0,-1-1 0 0 0,0 0-1 0 0,0 0 1 0 0,0 0 0 0 0,0 0 0 0 0,0 0-1 0 0,0 0 1 0 0,0 0 0 0 0,0 0 0 0 0,1 1-1 0 0,-1-1 1 0 0,0 0 0 0 0,0 0-1 0 0,0 0 1 0 0,0 0 0 0 0,0 0 0 0 0,1 0-1 0 0,-1 0 1 0 0,0 0 0 0 0,0 0 0 0 0,0 0-1 0 0,0 0 1 0 0,0 0 0 0 0,1 0-1 0 0,-1 0 1 0 0,0 0 0 0 0,0 0 0 0 0,0 0-1 0 0,0 0 1 0 0,0 0 0 0 0,1 0 0 0 0,-1 0-1 0 0,0 0 1 0 0,0 0 0 0 0,0 0-1 0 0,0 0 1 0 0,0 0 0 0 0,0-1 0 0 0,1 1-1 0 0,-1 0 1 0 0,0 0 0 0 0,0 0 0 0 0,0 0-1 0 0,0 0 1 0 0,0 0 0 0 0,0 0-1 0 0,0-1 1 0 0,0 1 0 0 0,1 0 0 0 0,-1 0-1 0 0,0 0 1 0 0,0 0 0 0 0,5 25 43 0 0,0 45-29 0 0,-5-59-8 0 0,1 23-26 0 0,-1-11 32 0 0,1 0 1 0 0,6 33-1 0 0,-7-50-30 0 0,1-2-1 0 0,1 0 0 0 0,-1 1 1 0 0,1-1-1 0 0,-1 1 0 0 0,1 0 1 0 0,0-2-1 0 0,1 2 0 0 0,-1-1 0 0 0,1 0 1 0 0,0-1-1 0 0,-1 2 0 0 0,1-3 1 0 0,0 2-1 0 0,1 0 0 0 0,-1-1 1 0 0,6 4-1 0 0,-7-5-21 0 0,0-1 0 0 0,0-1 1 0 0,0 1-1 0 0,-1-1 0 0 0,1 0 0 0 0,0 0 1 0 0,0 1-1 0 0,1-1 0 0 0,-1 0 0 0 0,0 0 0 0 0,0 0 1 0 0,0 0-1 0 0,0 0 0 0 0,0-1 0 0 0,0 1 1 0 0,0 0-1 0 0,0 0 0 0 0,1-2 0 0 0,33-20-5425 0 0,-21 11 1327 0 0</inkml:trace>
  <inkml:trace contextRef="#ctx0" brushRef="#br0" timeOffset="10302.61">6102 932 27134 0 0,'0'0'4642'0'0,"-1"7"-4420"0"0,-1 4-169 0 0,0-2 1 0 0,1 1-1 0 0,0 0 1 0 0,0 0 0 0 0,1-1-1 0 0,3 20 1 0 0,-3-25-48 0 0,0-1 0 0 0,1-1 0 0 0,-1 1 0 0 0,1-1 0 0 0,0 1 1 0 0,0 0-1 0 0,0-1 0 0 0,0 1 0 0 0,0-1 0 0 0,0 1 0 0 0,0-1 0 0 0,0 0 0 0 0,1 0 0 0 0,-1 0 0 0 0,1 0 1 0 0,0 0-1 0 0,0 0 0 0 0,0-1 0 0 0,1 2 0 0 0,-1-2 0 0 0,0 0 0 0 0,0 0 0 0 0,1 1 0 0 0,-1-1 0 0 0,0 0 1 0 0,0 0-1 0 0,1 0 0 0 0,0-1 0 0 0,-1 0 0 0 0,1 2 0 0 0,0-2 0 0 0,-1 0 0 0 0,3 0 0 0 0,3-2-2 0 0,-2 2 1 0 0,2-1-1 0 0,-1 0 0 0 0,0-1 0 0 0,-2-2 0 0 0,3 3 0 0 0,-2-3 0 0 0,1 2 1 0 0,0-3-1 0 0,-2 2 0 0 0,2-1 0 0 0,-1 0 0 0 0,-1-2 0 0 0,6-5 0 0 0,2-1-1 0 0,0-1-1 0 0,-3-2 1 0 0,2 2-1 0 0,15-30 1 0 0,-25 39-5 0 0,1-1-1 0 0,-1 0 1 0 0,0 0 0 0 0,0 0-1 0 0,0 0 1 0 0,-1-1 0 0 0,1 1 0 0 0,-1 1-1 0 0,-1-2 1 0 0,0 0 0 0 0,0-5-1 0 0,0 7-37 0 0,0 3 1 0 0,0-3-1 0 0,0 2 0 0 0,0-1 0 0 0,-1 1 0 0 0,1-2 0 0 0,-1 3 0 0 0,0-1 0 0 0,0-2 0 0 0,0 3 0 0 0,-1-2 0 0 0,1 1 0 0 0,0-1 0 0 0,-1 1 0 0 0,0 0 0 0 0,1 0 0 0 0,-1 1 1 0 0,1-1-1 0 0,-1-1 0 0 0,0 2 0 0 0,0 0 0 0 0,0 0 0 0 0,-4-3 0 0 0,5 2-9 0 0,-1 2 0 0 0,0-2 0 0 0,-1 2 0 0 0,1-1 0 0 0,-1 0 0 0 0,1 1 0 0 0,0-1 0 0 0,-1 1 0 0 0,1 0 0 0 0,-1-1 0 0 0,1 1 0 0 0,-1 0 0 0 0,2 1 0 0 0,-1-1 0 0 0,0 0 0 0 0,-1 1 0 0 0,1-1 0 0 0,-1 1 0 0 0,1 0 0 0 0,-3 1-1 0 0,1 0 56 0 0,0 2 0 0 0,1-3 0 0 0,0 3 0 0 0,-1-1 0 0 0,1 0-1 0 0,0 0 1 0 0,0 1 0 0 0,0-1 0 0 0,0 1 0 0 0,-2 5-1 0 0,-2 4 205 0 0,0 2-1 0 0,0-1 0 0 0,1 1 1 0 0,0 0-1 0 0,-2 24 1 0 0,1-10-143 0 0,1 0 0 0 0,1 0 0 0 0,2 1 0 0 0,1 0 0 0 0,2 0 0 0 0,0-1 0 0 0,2 1 0 0 0,7 36 0 0 0,-7-59-65 0 0,-1-1-1 0 0,1 0 1 0 0,1 0 0 0 0,-1 0 0 0 0,1 0-1 0 0,0 0 1 0 0,-1-1 0 0 0,0 0-1 0 0,2 1 1 0 0,0-2 0 0 0,0 1 0 0 0,0 0-1 0 0,1-1 1 0 0,0 2 0 0 0,-1-3-1 0 0,1 1 1 0 0,8 5 0 0 0,-5-5 0 0 0,0-1 1 0 0,2 2-1 0 0,-1-3 0 0 0,-2 1 0 0 0,3-1 1 0 0,-1-1-1 0 0,1 0 0 0 0,-2-1 1 0 0,1 0-1 0 0,1 0 0 0 0,8 0 1 0 0,3-3 4 0 0,1-1 1 0 0,-1-1 0 0 0,0 0-1 0 0,0-2 1 0 0,-1 0-1 0 0,22-12 1 0 0,-8-1-229 0 0,0 1-1 0 0,49-40 1 0 0,-42 26-1487 0 0</inkml:trace>
  <inkml:trace contextRef="#ctx0" brushRef="#br0" timeOffset="10303.61">4893 592 32003 0 0,'-6'20'492'0'0,"-5"11"-533"0"0,10-31 39 0 0,1 1 1 0 0,0-1-1 0 0,0 0 0 0 0,0 0 0 0 0,0 0 0 0 0,1 0 0 0 0,-1 0 0 0 0,0 1 0 0 0,0-1 0 0 0,0 0 0 0 0,0 1 0 0 0,0-1 0 0 0,0 0 0 0 0,0 0 1 0 0,0 1-1 0 0,1-1 0 0 0,-1 0 0 0 0,0 2 0 0 0,0-2 0 0 0,0 0 0 0 0,1 0 0 0 0,-1 0 0 0 0,0 1 0 0 0,0-1 0 0 0,1 0 0 0 0,-1 0 1 0 0,0 0-1 0 0,0 0 0 0 0,1 1 0 0 0,17-3 65 0 0,-11-2-57 0 0,0 0 0 0 0,-1 1 1 0 0,0-1-1 0 0,0-1 0 0 0,1 0 1 0 0,-1 1-1 0 0,0-1 0 0 0,-1-1 1 0 0,7-9-1 0 0,-4 6-9 0 0,0 0 0 0 0,-2-2 1 0 0,1 1-1 0 0,-1 0 0 0 0,6-17 0 0 0,-11 26 1 0 0,-1 0 0 0 0,0-1-1 0 0,1 1 1 0 0,-1 0 0 0 0,0 0 0 0 0,0 1-1 0 0,0-1 1 0 0,0 0 0 0 0,1 0-1 0 0,-2 0 1 0 0,1 0 0 0 0,0 0 0 0 0,0 0-1 0 0,0 0 1 0 0,0 0 0 0 0,0 0-1 0 0,-1 0 1 0 0,1 0 0 0 0,0 1 0 0 0,-1-2-1 0 0,1 1 1 0 0,-1 0 0 0 0,1 1-1 0 0,-1 0 1 0 0,0-1 0 0 0,1 0-1 0 0,-1-1 1 0 0,1 2 0 0 0,0-1 0 0 0,-1 0-1 0 0,0 1 1 0 0,0-1 0 0 0,1 1-1 0 0,-1 0 1 0 0,0 0 0 0 0,0 0 0 0 0,0-2-1 0 0,0 2 1 0 0,0 0 0 0 0,0-1-1 0 0,0 1 1 0 0,0 0 0 0 0,1 0 0 0 0,-1 0-1 0 0,0 0 1 0 0,0 0 0 0 0,-2 0-1 0 0,-3 0-16 0 0,1-1-1 0 0,-1 1 0 0 0,0 0 0 0 0,0 1 0 0 0,0 0 0 0 0,-8 2 1 0 0,7-1 21 0 0,-1 2 0 0 0,2-2 0 0 0,0 3 0 0 0,-1-1 0 0 0,0 0 0 0 0,1 0 0 0 0,0 1 0 0 0,0 1 0 0 0,-5 4 0 0 0,-23 31-1493 0 0,14-13-2745 0 0,18-25 3523 0 0,-9 12-4351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11-23T11:41:13.107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3 932 24490 0 0,'-2'0'7306'0'0,"2"0"-7150"0"0,2-11 1026 0 0,7-17-1852 0 0,237-418 801 0 0,-167 311-128 0 0,-78 132-9 0 0,-1 3-14 0 0,-17 25-639 0 0,-11 21-3008 0 0,22-34-1721 0 0</inkml:trace>
  <inkml:trace contextRef="#ctx0" brushRef="#br0" timeOffset="428.53">373 31 28759 0 0,'0'0'2803'0'0,"8"5"-2557"0"0,0 0-205 0 0,1 0 0 0 0,0-1 0 0 0,0 2 0 0 0,1-3 0 0 0,11 4 0 0 0,-16-6-20 0 0,0 0-1 0 0,0 0 0 0 0,0 0 0 0 0,1-1 1 0 0,-1 0-1 0 0,0 0 0 0 0,-1 0 0 0 0,1-1 1 0 0,0 0-1 0 0,1 0 0 0 0,-1 0 0 0 0,0-1 1 0 0,0 0-1 0 0,7-3 0 0 0,-6 0 8 0 0,0 1 0 0 0,-1 0 0 0 0,1-1 0 0 0,8-9 0 0 0,12-9 50 0 0,-26 22-68 0 0,0 1-3 0 0,0-1-12 0 0,4 20-316 0 0,11 34 315 0 0,-9-37-29 0 0,-1 2-1 0 0,0-1 1 0 0,-2 1 0 0 0,1-1-1 0 0,-2 1 1 0 0,0-1 0 0 0,-1 2-1 0 0,-2 21 1 0 0,1-39 46 0 0,0 0-1 0 0,0 1 1 0 0,0-1-1 0 0,-1 0 1 0 0,1 0-1 0 0,0 0 1 0 0,0 1 0 0 0,-1-1-1 0 0,1 0 1 0 0,-1 0-1 0 0,1 0 1 0 0,-1 0 0 0 0,0 0-1 0 0,1 0 1 0 0,-1 0-1 0 0,0 0 1 0 0,0 0-1 0 0,0 0 1 0 0,1 0 0 0 0,-1 1-1 0 0,0-2 1 0 0,0 1-1 0 0,0 0 1 0 0,-3 1 0 0 0,3-2-2 0 0,-1 0 0 0 0,0 0 0 0 0,0 0 0 0 0,1 0 0 0 0,-1 0 1 0 0,0 0-1 0 0,0-1 0 0 0,0 1 0 0 0,1 0 0 0 0,-1-1 1 0 0,0 1-1 0 0,1-1 0 0 0,0 0 0 0 0,-1-1 0 0 0,-1 1 0 0 0,-7-6 11 0 0,-1-1-1 0 0,1 1 0 0 0,-15-17 0 0 0,21 20-19 0 0,-120-119-30 0 0,140 121-5425 0 0,-7 2 999 0 0</inkml:trace>
  <inkml:trace contextRef="#ctx0" brushRef="#br0" timeOffset="5824.69">180 957 28019 0 0,'1'-19'3167'0'0,"-1"17"-2366"0"0,0 4-379 0 0,-1 34-363 0 0,2-22-53 0 0,16 230 80 0 0,-9-82-76 0 0,-7-146-11 0 0,0 27-94 0 0,-1-43 74 0 0,2-3 27 0 0,-1-1 1 0 0,1 1-1 0 0,-1 0 0 0 0,0-1 1 0 0,0 1-1 0 0,-1-1 0 0 0,1 1 1 0 0,-1-1-1 0 0,1-4 0 0 0,-1 7-5 0 0,70-410-200 0 0,-65 388 196 0 0,-2 9 4 0 0,-3 10 2 0 0,0-1 1 0 0,1 1-1 0 0,0 0 1 0 0,0-1 0 0 0,0 1-1 0 0,1 0 1 0 0,-1-1-1 0 0,1 1 1 0 0,0 0 0 0 0,0 0-1 0 0,4-7 1 0 0,-6 11-6 0 0,1 0 0 0 0,0 0 0 0 0,-1-1 0 0 0,1 1 0 0 0,-1 0 0 0 0,1 0 0 0 0,0 0 0 0 0,-1 0 0 0 0,1 0 0 0 0,0 0 0 0 0,-1 0 0 0 0,1 1 0 0 0,-1-1 0 0 0,1 0 0 0 0,0 0 1 0 0,-1 0-1 0 0,1 1 0 0 0,-1-1 0 0 0,1 0 0 0 0,0 0 0 0 0,-1 1 0 0 0,1-1 0 0 0,-1 1 0 0 0,1-1 0 0 0,-1 0 0 0 0,0 1 0 0 0,1 0 0 0 0,14 16 16 0 0,-12-15-14 0 0,1 5-3 0 0,0-2 0 0 0,1 0-1 0 0,0 0 1 0 0,0-1-1 0 0,-1 1 1 0 0,2-1 0 0 0,-1-1-1 0 0,1 2 1 0 0,0-2 0 0 0,13 6-1 0 0,-16-8 4 0 0,1-1 0 0 0,0 1 0 0 0,-1 0 0 0 0,1-1 0 0 0,0 0 0 0 0,0 0-1 0 0,0 0 1 0 0,0-1 0 0 0,0 1 0 0 0,0-1 0 0 0,0 0 0 0 0,0 0 0 0 0,0 0 0 0 0,0-1 0 0 0,-1 1-1 0 0,1-1 1 0 0,-1 0 0 0 0,0 0 0 0 0,7-6 0 0 0,4-4-8 0 0,0-1 1 0 0,0-1-1 0 0,-2 0 0 0 0,18-25 0 0 0,-18 23-68 0 0,0-8-147 0 0,-11 22 16 0 0,-2 6 15 0 0,-2 12 26 0 0,-5 61 457 0 0,1 0 1 0 0,7 121-1 0 0,0-143-355 0 0,1-19 74 0 0,8 70 1 0 0,-8-95-18 0 0,1-1 0 0 0,0 0-1 0 0,1 0 1 0 0,1 1 0 0 0,-1-2 0 0 0,2 1 0 0 0,-1-1 0 0 0,1 1 0 0 0,1-1 0 0 0,-1-1 0 0 0,10 11 0 0 0,-13-16-37 0 0,0-1 0 0 0,1 0 0 0 0,0 0 0 0 0,1 0 0 0 0,-1-1-1 0 0,0 1 1 0 0,1-1 0 0 0,-1 0 0 0 0,0 0 0 0 0,1 0 0 0 0,6 1 0 0 0,-9-2-286 0 0,1 0-1 0 0,-1 0 0 0 0,0 0 1 0 0,1 0-1 0 0,-1 0 1 0 0,0 0-1 0 0,0 0 0 0 0,1-1 1 0 0,-1 1-1 0 0,0-1 0 0 0,0 1 1 0 0,0-1-1 0 0,1 0 0 0 0,5-5-4075 0 0</inkml:trace>
  <inkml:trace contextRef="#ctx0" brushRef="#br0" timeOffset="6492.08">986 1440 23650 0 0,'-5'29'2574'0'0,"-13"48"-1"0"0,16-69-2391 0 0,-1 1-1 0 0,0-2 0 0 0,-1 1 0 0 0,1-1 1 0 0,-1 1-1 0 0,0 0 0 0 0,0-2 0 0 0,-1 1 0 0 0,-1-1 1 0 0,-10 12-1 0 0,15-17-181 0 0,0 0 1 0 0,0 0-1 0 0,0 0 1 0 0,0 0 0 0 0,0-1-1 0 0,0 1 1 0 0,0 0-1 0 0,0-1 1 0 0,0 1-1 0 0,0-1 1 0 0,-1 1-1 0 0,1-1 1 0 0,0 0-1 0 0,0 0 1 0 0,0 1-1 0 0,-1-1 1 0 0,1 0 0 0 0,0 0-1 0 0,0 0 1 0 0,-1 0-1 0 0,2 0 1 0 0,-1 0-1 0 0,0-1 1 0 0,-1 1-1 0 0,0-1 1 0 0,0 0-14 0 0,1 0 1 0 0,-1 0-1 0 0,0-1 1 0 0,1 1-1 0 0,0-1 1 0 0,-1 1-1 0 0,1-1 1 0 0,0 1-1 0 0,0-1 1 0 0,-1-1-1 0 0,2 2 1 0 0,-1-1-1 0 0,0 0 1 0 0,-1-2-1 0 0,-1-5 32 0 0,0 0 0 0 0,1-2 0 0 0,0 2 0 0 0,1-1-1 0 0,-1-14 1 0 0,2-9 60 0 0,2 0 0 0 0,1 2 0 0 0,2-1 0 0 0,10-40 0 0 0,44-124 560 0 0,-45 151-381 0 0,-14 43-247 0 0,0 0 1 0 0,1 1-1 0 0,0-1 0 0 0,-1 0 0 0 0,1 0 0 0 0,0 0 0 0 0,0 0 0 0 0,0 1 0 0 0,0-1 1 0 0,0 0-1 0 0,0 1 0 0 0,0-1 0 0 0,3-2 0 0 0,-3 5-13 0 0,-1-1 0 0 0,1 2 0 0 0,0-2 0 0 0,0 1 1 0 0,0-1-1 0 0,0 1 0 0 0,-1 0 0 0 0,1 0 0 0 0,0-1 0 0 0,-1 1 0 0 0,1 0 0 0 0,-1 0 0 0 0,1 0 0 0 0,-1 0 0 0 0,1 0 1 0 0,-1 0-1 0 0,1 0 0 0 0,-1 0 0 0 0,0 0 0 0 0,0 0 0 0 0,1 0 0 0 0,-1 0 0 0 0,0 0 0 0 0,0 2 0 0 0,34 140 91 0 0,20 66-73 0 0,-53-207-15 0 0,-1 0-1 0 0,1 1 1 0 0,0-1-1 0 0,0 0 1 0 0,0 0-1 0 0,0 0 1 0 0,0 0 0 0 0,0 1-1 0 0,1-2 1 0 0,-1 1-1 0 0,1 0 1 0 0,-1 0-1 0 0,1 1 1 0 0,0-2 0 0 0,0 1-1 0 0,0-1 1 0 0,0 1-1 0 0,0-1 1 0 0,0 0-1 0 0,0 0 1 0 0,0 0 0 0 0,4 1-1 0 0,-3-2-33 0 0,-1 0 1 0 0,1 0-1 0 0,-1 0 0 0 0,1 0 0 0 0,-1-1 1 0 0,0 0-1 0 0,0 1 0 0 0,1-1 0 0 0,-1 0 1 0 0,1 0-1 0 0,-1 0 0 0 0,0 0 0 0 0,0-1 1 0 0,0 1-1 0 0,0-1 0 0 0,0 0 0 0 0,0 0 1 0 0,0 0-1 0 0,0 0 0 0 0,0 0 0 0 0,1-3 1 0 0,20-27-2577 0 0,-13 11-3552 0 0</inkml:trace>
  <inkml:trace contextRef="#ctx0" brushRef="#br0" timeOffset="6493.08">1336 346 28475 0 0,'-1'-18'3453'0'0,"-3"41"-3313"0"0,9 412 193 0 0,2-113-309 0 0,-6-53-265 0 0,0-4-500 0 0,0-286 1473 0 0,-2-146-449 0 0,-10 19-228 0 0,-4-63-63 0 0,16 209 5 0 0,-1-1 0 0 0,0 1-1 0 0,1-1 1 0 0,-1 1 0 0 0,1-2 0 0 0,0 2 0 0 0,0 0 0 0 0,0-1-1 0 0,0 1 1 0 0,0 0 0 0 0,0 0 0 0 0,1-1 0 0 0,-1 1-1 0 0,1 0 1 0 0,0 0 0 0 0,-1 1 0 0 0,1-1 0 0 0,0 0-1 0 0,-1 1 1 0 0,1-1 0 0 0,0 1 0 0 0,0-1 0 0 0,1 1 0 0 0,-1-1-1 0 0,0 1 1 0 0,0 0 0 0 0,1 0 0 0 0,-1 1 0 0 0,1-1-1 0 0,-1 1 1 0 0,5-1 0 0 0,10-2-6 0 0,0 1 0 0 0,1 1-1 0 0,25 2 1 0 0,-20-1 9 0 0,35 0-407 0 0,-20-2-2696 0 0,-17 0-4307 0 0</inkml:trace>
  <inkml:trace contextRef="#ctx0" brushRef="#br0" timeOffset="9327.39">1690 1418 31875 0 0,'56'11'805'0'0,"31"10"-792"0"0,43 10-146 0 0,-127-30-38 0 0,-1 0 1 0 0,0 1-1 0 0,0-1 1 0 0,0 1-1 0 0,1-1 1 0 0,-1 0-1 0 0,0 1 1 0 0,0 0-1 0 0,2 1 1 0 0,-3 0-1806 0 0</inkml:trace>
  <inkml:trace contextRef="#ctx0" brushRef="#br0" timeOffset="9328.39">2907 703 29671 0 0,'-1'-4'130'0'0,"-1"1"0"0"0,1-1 0 0 0,-1 1 0 0 0,0 0 0 0 0,0 0 0 0 0,-1 0 0 0 0,1-1 0 0 0,-1 1 1 0 0,1 0-1 0 0,-1 1 0 0 0,0-1 0 0 0,1 1 0 0 0,-1 0 0 0 0,0 0 0 0 0,0 0 0 0 0,0 0 0 0 0,-1 0 0 0 0,1 1 0 0 0,-1 0 1 0 0,1-1-1 0 0,-7 0 0 0 0,5 1-132 0 0,0 0 0 0 0,0 0 0 0 0,1 1 1 0 0,-1-1-1 0 0,0 1 0 0 0,-1 0 0 0 0,1 1 1 0 0,0-1-1 0 0,0 1 0 0 0,0 0 0 0 0,0 1 1 0 0,0-1-1 0 0,0 1 0 0 0,-8 4 0 0 0,1 2 8 0 0,0 1-1 0 0,1 2 0 0 0,0-1 0 0 0,2 0 1 0 0,-1 2-1 0 0,0-1 0 0 0,1 1 1 0 0,0 1-1 0 0,1-1 0 0 0,-11 28 0 0 0,-3 9 17 0 0,-24 90 0 0 0,41-122-22 0 0,-12 37-5 0 0,4 2 1 0 0,1 0 0 0 0,3 1 0 0 0,2 0 0 0 0,-1 83-1 0 0,8-134-14 0 0,1-1 0 0 0,-1 0 0 0 0,1 2-1 0 0,0-2 1 0 0,0 0 0 0 0,0 0 0 0 0,1 1-1 0 0,-1-1 1 0 0,1 1 0 0 0,0-1-1 0 0,1-1 1 0 0,0 1 0 0 0,-1 0 0 0 0,5 4-1 0 0,-5-7 7 0 0,0 0 0 0 0,1 0 0 0 0,-1 1 0 0 0,0-1-1 0 0,0-1 1 0 0,1 1 0 0 0,-1-1 0 0 0,1 1-1 0 0,0-1 1 0 0,0 0 0 0 0,0 0 0 0 0,-1 0-1 0 0,1-1 1 0 0,0 1 0 0 0,0-1 0 0 0,0 0 0 0 0,0 1-1 0 0,0-1 1 0 0,1-1 0 0 0,-1 1 0 0 0,0 0-1 0 0,0-1 1 0 0,-1 1 0 0 0,1-1 0 0 0,-1 0-1 0 0,5-2 1 0 0,6-2-251 0 0,1-3-1 0 0,-1 1 1 0 0,-1-1-1 0 0,0 0 1 0 0,0-2-1 0 0,12-9 1 0 0,-12 8-2230 0 0</inkml:trace>
  <inkml:trace contextRef="#ctx0" brushRef="#br0" timeOffset="9789.76">2940 1144 28183 0 0,'0'-1'151'0'0,"0"0"0"0"0,0 1 1 0 0,0-1-1 0 0,0 0 1 0 0,0 0-1 0 0,0 0 0 0 0,-1 0 1 0 0,1 1-1 0 0,0-1 1 0 0,0 0-1 0 0,-1 0 1 0 0,1 1-1 0 0,0-1 0 0 0,0 0 1 0 0,0 0-1 0 0,-1 1 1 0 0,1-1-1 0 0,0 0 0 0 0,-1 1 1 0 0,0-1-1 0 0,1 1 1 0 0,-1-1-1 0 0,1 1 1 0 0,-1-1-1 0 0,0 1 0 0 0,-1-2 1 0 0,1 2-100 0 0,-1 0 0 0 0,0-1 0 0 0,1 1 0 0 0,-1 0 0 0 0,0 0 1 0 0,1 0-1 0 0,-1 0 0 0 0,0 0 0 0 0,1 0 0 0 0,-1 0 0 0 0,0 1 0 0 0,-2 0 0 0 0,-1 1-100 0 0,-1 0 0 0 0,1 0 0 0 0,0 0 0 0 0,1 1 0 0 0,-1 0 0 0 0,0 0 0 0 0,-5 4 0 0 0,3 2 48 0 0,0 0 1 0 0,0-1-1 0 0,0 1 1 0 0,1 2-1 0 0,2-2 1 0 0,-2 1 0 0 0,1 0-1 0 0,1 1 1 0 0,0 0-1 0 0,1-1 1 0 0,0 2-1 0 0,-3 16 1 0 0,3-6 2 0 0,1 0 0 0 0,0-1-1 0 0,2 0 1 0 0,0 0 0 0 0,6 40 0 0 0,-5-53-4 0 0,1 0 0 0 0,-1 1 0 0 0,1-2 0 0 0,1 1 0 0 0,0-1 0 0 0,0 0 0 0 0,0 2 0 0 0,1-2 0 0 0,0-1 0 0 0,0 1 0 0 0,0-1 0 0 0,7 10 0 0 0,-8-14 2 0 0,0 1-1 0 0,0-1 0 0 0,1 0 0 0 0,-1 0 0 0 0,0 0 0 0 0,1 0 0 0 0,-1 0 0 0 0,1-1 0 0 0,0 1 0 0 0,-1-1 0 0 0,1 0 0 0 0,0 0 0 0 0,-1-1 1 0 0,0 1-1 0 0,1-1 0 0 0,0 0 0 0 0,0 0 0 0 0,0 0 0 0 0,0 0 0 0 0,0-1 0 0 0,-1 0 0 0 0,1 0 0 0 0,0 0 0 0 0,0 0 0 0 0,-1 0 1 0 0,6-4-1 0 0,3-1 7 0 0,-1-1 0 0 0,1 0 0 0 0,-1-2 1 0 0,0 1-1 0 0,-2-1 0 0 0,1 0 0 0 0,0-1 1 0 0,12-16-1 0 0,-3-1 8 0 0,0-1 1 0 0,21-41-1 0 0,-34 57-12 0 0,0-1 0 0 0,-1-1 1 0 0,-1 1-1 0 0,0 0 0 0 0,-1-2 0 0 0,0 2 0 0 0,0-2 0 0 0,-2 1 1 0 0,0 0-1 0 0,-1-15 0 0 0,0 24-13 0 0,0-2 1 0 0,-1 2-1 0 0,0 0 1 0 0,0-1-1 0 0,-1 1 1 0 0,1 0-1 0 0,-1 0 1 0 0,0-1-1 0 0,0 1 0 0 0,-1 0 1 0 0,0 0-1 0 0,-4-5 1 0 0,4 7-18 0 0,0 0 0 0 0,0 0 0 0 0,0-1 1 0 0,0 1-1 0 0,-1 1 0 0 0,1 0 0 0 0,-1 0 0 0 0,1 0 1 0 0,-1 0-1 0 0,0 0 0 0 0,1 1 0 0 0,-1 0 1 0 0,-1 0-1 0 0,1 0 0 0 0,0 0 0 0 0,0 1 0 0 0,-8-1 1 0 0,2 1-90 0 0,2 1 1 0 0,-2 0-1 0 0,0 1 1 0 0,1 0-1 0 0,-1 0 1 0 0,1 1-1 0 0,0 0 1 0 0,0 1-1 0 0,0 0 1 0 0,0 2-1 0 0,1-2 1 0 0,-1 2-1 0 0,2-1 1 0 0,-1 1-1 0 0,1 1 1 0 0,-8 7 0 0 0,6-5 17 0 0,1 0 0 0 0,0 2 0 0 0,1-2 1 0 0,0 2-1 0 0,0-1 0 0 0,0 2 0 0 0,1-1 1 0 0,1 0-1 0 0,0 2 0 0 0,1-2 0 0 0,0 1 1 0 0,-3 20-1 0 0,6-30-268 0 0,1 1 1 0 0,0-1-1 0 0,0 1 0 0 0,0-1 1 0 0,0 2-1 0 0,0-2 1 0 0,0 0-1 0 0,0 1 0 0 0,2 4 1 0 0,3 1-2741 0 0</inkml:trace>
  <inkml:trace contextRef="#ctx0" brushRef="#br0" timeOffset="11471.48">3275 1230 25858 0 0,'1'0'319'0'0,"0"1"-1"0"0,0 0 1 0 0,0-1-1 0 0,0 1 1 0 0,-1 0 0 0 0,0-1-1 0 0,1 1 1 0 0,0-1-1 0 0,0 0 1 0 0,0 1-1 0 0,0-1 1 0 0,0 0-1 0 0,0 1 1 0 0,0-1-1 0 0,0 0 1 0 0,1 0-1 0 0,1 0 1 0 0,19-6 848 0 0,16-22-1628 0 0,-38 28 571 0 0,15-15-87 0 0,-1 2 1 0 0,-1-2 0 0 0,0-1-1 0 0,-1 1 1 0 0,10-19 0 0 0,46-92 73 0 0,-64 118-96 0 0,15-29 14 0 0,-2-1-1 0 0,20-68 1 0 0,-31 88-22 0 0,-2-1 1 0 0,0 1-1 0 0,-1-2 0 0 0,-1 2 1 0 0,-1-2-1 0 0,0 2 1 0 0,-2-2-1 0 0,-2-23 0 0 0,2 38 0 0 0,0 0 1 0 0,0 0-1 0 0,-1-1 0 0 0,0 1 0 0 0,0 0 0 0 0,0 0 0 0 0,0 1 0 0 0,-1-1 0 0 0,0 1 1 0 0,0-1-1 0 0,0 0 0 0 0,0 1 0 0 0,-1 0 0 0 0,0 0 0 0 0,1 1 0 0 0,-5-4 0 0 0,6 5 1 0 0,-1 1 1 0 0,1 0-1 0 0,-1-1 0 0 0,1 1 0 0 0,-1 0 0 0 0,1 0 0 0 0,-1 1 0 0 0,0-2 1 0 0,1 1-1 0 0,-1 1 0 0 0,0 0 0 0 0,1-1 0 0 0,-1 1 0 0 0,0 0 0 0 0,0 1 0 0 0,1-1 1 0 0,-1 0-1 0 0,0 1 0 0 0,2 1 0 0 0,-2-2 0 0 0,1 1 0 0 0,-1 0 0 0 0,0 0 1 0 0,1 1-1 0 0,0-1 0 0 0,-1 0 0 0 0,1 1 0 0 0,0 0 0 0 0,0-1 0 0 0,0 1 0 0 0,-4 4 1 0 0,-4 6 4 0 0,0 1 1 0 0,2-1 0 0 0,0 1 0 0 0,0 1-1 0 0,0 0 1 0 0,1 1 0 0 0,1-1-1 0 0,0 0 1 0 0,1 2 0 0 0,-3 19 0 0 0,0 5 53 0 0,1 1 1 0 0,-2 75 0 0 0,8-90-45 0 0,-3 56-1 0 0,3 1 1 0 0,19 156-1 0 0,-16-229-24 0 0,0 0-1 0 0,1 2 0 0 0,0-2 1 0 0,0 0-1 0 0,0 1 1 0 0,1-2-1 0 0,1 1 0 0 0,0-1 1 0 0,13 18-1 0 0,-16-25 8 0 0,1 1-1 0 0,0 0 0 0 0,-1-1 1 0 0,1 1-1 0 0,0 0 0 0 0,1-1 1 0 0,-1 0-1 0 0,-1 0 0 0 0,2 0 1 0 0,-1-1-1 0 0,1 1 0 0 0,-1-1 1 0 0,1 0-1 0 0,-1 0 0 0 0,1 0 1 0 0,0-1-1 0 0,0 1 0 0 0,-1-1 1 0 0,1 0-1 0 0,0 0 0 0 0,0 0 1 0 0,0-1-1 0 0,-1 1 1 0 0,0-1-1 0 0,1 0 0 0 0,-1 0 1 0 0,1 0-1 0 0,0 0 0 0 0,-1-1 1 0 0,4-2-1 0 0,3-1-15 0 0,-2-2 1 0 0,1 2 0 0 0,-2-2-1 0 0,1 1 1 0 0,0-1-1 0 0,0-2 1 0 0,-1 2-1 0 0,0-1 1 0 0,-1 0-1 0 0,7-15 1 0 0,15-25-4109 0 0,-20 31-194 0 0</inkml:trace>
  <inkml:trace contextRef="#ctx0" brushRef="#br0" timeOffset="11472.48">3779 1185 24866 0 0,'-11'5'4335'0'0,"0"9"-3330"0"0,-5 19-1922 0 0,13-27 1331 0 0,-3 11-271 0 0,-1 2 0 0 0,2-1 0 0 0,0 1 0 0 0,1 0 0 0 0,0 0 0 0 0,0 23 0 0 0,2-19 33 0 0,2-2-1 0 0,4 40 1 0 0,-4-58-157 0 0,1 1 0 0 0,-1 0 0 0 0,1 0 0 0 0,0-1 0 0 0,0 2-1 0 0,1-2 1 0 0,-1 1 0 0 0,1-1 0 0 0,0 1 0 0 0,0-1 0 0 0,0 0 0 0 0,0 0 0 0 0,0 0 0 0 0,1 0 0 0 0,-1 0 0 0 0,4 3 0 0 0,-5-5 0 0 0,1 1 0 0 0,1-1 0 0 0,-1 0 0 0 0,1 0-1 0 0,-1 0 1 0 0,1 0 0 0 0,-1 0 0 0 0,1-1 0 0 0,-1 1 0 0 0,1-1 0 0 0,0 1 0 0 0,-1-1 0 0 0,1 0 0 0 0,0 0 0 0 0,-1 0 0 0 0,1-1 0 0 0,0 1 0 0 0,-1-1 0 0 0,1 1 0 0 0,0-1 0 0 0,-1 0 0 0 0,1 0 0 0 0,2-2 0 0 0,5-3 40 0 0,0-1 1 0 0,0 1 0 0 0,0-1-1 0 0,-1-1 1 0 0,-1 0-1 0 0,0-1 1 0 0,1 0 0 0 0,10-16-1 0 0,1-4-25 0 0,28-52 0 0 0,-35 55-22 0 0,15-39 0 0 0,-22 49-10 0 0,-2 1 0 0 0,1 0 1 0 0,-2-2-1 0 0,0 2 0 0 0,-2-2 1 0 0,1 1-1 0 0,-1-21 0 0 0,-1 34-5 0 0,0 1 0 0 0,0-1-1 0 0,0 1 1 0 0,-1-2 0 0 0,1 2-1 0 0,-1 0 1 0 0,1-1 0 0 0,-1 1-1 0 0,1-1 1 0 0,-1 1 0 0 0,0 0-1 0 0,0 0 1 0 0,0 0 0 0 0,-1-1-1 0 0,1 1 1 0 0,-1 0 0 0 0,1 1-1 0 0,-1-1 1 0 0,0 0 0 0 0,1 0 0 0 0,-4-2-1 0 0,2 2-12 0 0,0 1 0 0 0,-1-1 0 0 0,1 1 0 0 0,0 0 0 0 0,-1 0 0 0 0,1 0 0 0 0,-1 1-1 0 0,1-1 1 0 0,-1 1 0 0 0,1 0 0 0 0,0 0 0 0 0,-8 1 0 0 0,-1 1-25 0 0,1 0 0 0 0,-1 1-1 0 0,2 0 1 0 0,-1 2 0 0 0,0-1 0 0 0,0 1-1 0 0,-17 11 1 0 0,14-5 24 0 0,0 0-1 0 0,1 0 1 0 0,2 2-1 0 0,-2-1 1 0 0,2 0-1 0 0,-16 24 1 0 0,21-26 13 0 0,0 1 1 0 0,0-1 0 0 0,1 1 0 0 0,0 0-1 0 0,0 0 1 0 0,1 1 0 0 0,1 0-1 0 0,0-1 1 0 0,0 1 0 0 0,-1 17 0 0 0,4-26-11 0 0,0-1 0 0 0,0 0 0 0 0,0 0 1 0 0,0 1-1 0 0,1-1 0 0 0,-1 0 0 0 0,1 1 1 0 0,-1-1-1 0 0,1 0 0 0 0,0 0 0 0 0,0 0 1 0 0,0 0-1 0 0,0 0 0 0 0,0 0 1 0 0,0 0-1 0 0,0 0 0 0 0,1 0 0 0 0,-1-1 1 0 0,1 1-1 0 0,-1-1 0 0 0,1 1 0 0 0,0-1 1 0 0,-1 1-1 0 0,1-1 0 0 0,0 0 0 0 0,0 0 1 0 0,0 0-1 0 0,0 0 0 0 0,0 0 1 0 0,0-1-1 0 0,0 2 0 0 0,0-1 0 0 0,3-1 1 0 0,3 2-635 0 0,2 0 1 0 0,0-1 0 0 0,-1-1 0 0 0,1 0-1 0 0,0 0 1 0 0,11-2 0 0 0,3-5-4793 0 0</inkml:trace>
  <inkml:trace contextRef="#ctx0" brushRef="#br0" timeOffset="11959.1">4229 1048 29823 0 0,'-1'0'64'0'0,"1"-1"0"0"0,0 1 0 0 0,-1 0 1 0 0,1 0-1 0 0,0 0 0 0 0,-1-1 0 0 0,1 1 0 0 0,0 0 1 0 0,-1 0-1 0 0,1 0 0 0 0,0 0 0 0 0,-1 0 0 0 0,1 0 1 0 0,-1 0-1 0 0,1 0 0 0 0,0 0 0 0 0,-1 0 1 0 0,1 0-1 0 0,0 0 0 0 0,-1 0 0 0 0,1 0 0 0 0,-1 0 1 0 0,1 0-1 0 0,0 0 0 0 0,-1 0 0 0 0,1 1 0 0 0,0-1 1 0 0,-1 0-1 0 0,1 0 0 0 0,0 0 0 0 0,0 1 0 0 0,-1-1 1 0 0,1 0-1 0 0,0 0 0 0 0,-1 1 0 0 0,1-1 1 0 0,0 1-1 0 0,-8 18 310 0 0,2 24-607 0 0,4 48 257 0 0,4 43 15 0 0,0-4-208 0 0,16-184 321 0 0,-9 23-160 0 0,15-63 1 0 0,50-124 0 0 0,-73 216 7 0 0,-1 1 1 0 0,1-1 0 0 0,-1 1-1 0 0,1-1 1 0 0,0 1-1 0 0,0-1 1 0 0,0 1 0 0 0,0 0-1 0 0,0-1 1 0 0,0 1 0 0 0,0 0-1 0 0,0 0 1 0 0,1 0-1 0 0,-1 0 1 0 0,0 0 0 0 0,1 0-1 0 0,-1 0 1 0 0,0 0 0 0 0,3 0-1 0 0,-3 1 0 0 0,0 0 1 0 0,0 0-1 0 0,0 1 0 0 0,0-1 0 0 0,0 1 1 0 0,0-1-1 0 0,0 1 0 0 0,0-1 0 0 0,0 1 0 0 0,0-1 1 0 0,-1 1-1 0 0,1 0 0 0 0,-1-1 0 0 0,1 1 1 0 0,0 0-1 0 0,-1 0 0 0 0,1 0 0 0 0,0 0 0 0 0,-1 0 1 0 0,1 0-1 0 0,-1 0 0 0 0,1 0 0 0 0,-1 0 1 0 0,0 0-1 0 0,1 0 0 0 0,-1 0 0 0 0,0 0 0 0 0,1 0 1 0 0,-1 1-1 0 0,8 33 7 0 0,-1 0 0 0 0,-1 1 1 0 0,-2-1-1 0 0,0 64 0 0 0,-3-51-92 0 0,12 83-1 0 0,-13-130 81 0 0,0 0 0 0 0,0 0 0 0 0,1 1 0 0 0,-1-1-1 0 0,0 0 1 0 0,0 0 0 0 0,1 0 0 0 0,-1 1 0 0 0,0-1 0 0 0,1 0-1 0 0,-1 0 1 0 0,1 0 0 0 0,0 0 0 0 0,-1 0 0 0 0,1 0 0 0 0,-1 0-1 0 0,1 0 1 0 0,-1 0 0 0 0,1 0 0 0 0,0 0 0 0 0,0 0 0 0 0,0-1-1 0 0,0 1 1 0 0,0 0 0 0 0,0-1 0 0 0,0 1 0 0 0,0-1-1 0 0,1 1 1 0 0,-1-1 0 0 0,0 1 0 0 0,0-1 0 0 0,0 0 0 0 0,0 0-1 0 0,3 1 1 0 0,-2-2-266 0 0,1 0-1 0 0,0 0 1 0 0,0 0-1 0 0,-1 0 1 0 0,1 0-1 0 0,-1 0 1 0 0,1-1-1 0 0,-1 1 1 0 0,0-1-1 0 0,1 0 1 0 0,-1 1 0 0 0,0-1-1 0 0,3-5 1 0 0,5-6-5874 0 0</inkml:trace>
  <inkml:trace contextRef="#ctx0" brushRef="#br0" timeOffset="13006.04">4647 1094 29491 0 0,'-2'0'1686'0'0,"0"6"-723"0"0,-2 21-515 0 0,-2 30-644 0 0,-5 274 226 0 0,10-318-47 0 0,0-8-14 0 0,0 1-1 0 0,1 0 1 0 0,-1-1-1 0 0,2 1 1 0 0,-1 1-1 0 0,0-2 0 0 0,3 9 1 0 0,-3-14 29 0 0,0 0 0 0 0,0 0 1 0 0,0 1-1 0 0,0-1 0 0 0,0 0 0 0 0,1 0 0 0 0,-1 0 1 0 0,0 0-1 0 0,0 0 0 0 0,0 1 0 0 0,1-1 1 0 0,-1 0-1 0 0,0 0 0 0 0,0 0 0 0 0,1 0 0 0 0,-1 0 1 0 0,0 0-1 0 0,0 0 0 0 0,0 0 0 0 0,1 0 1 0 0,-1 0-1 0 0,0 0 0 0 0,0 0 0 0 0,1 0 0 0 0,-1 0 1 0 0,0 0-1 0 0,0 0 0 0 0,1 0 0 0 0,-1 0 0 0 0,0 0 1 0 0,0 0-1 0 0,0-1 0 0 0,1 1 0 0 0,-1 0 1 0 0,0 0-1 0 0,0 0 0 0 0,0 0 0 0 0,0 0 0 0 0,1-1 1 0 0,-1 1-1 0 0,0 0 0 0 0,0 0 0 0 0,0 0 0 0 0,0-1 1 0 0,0 1-1 0 0,1 0 0 0 0,-1 0 0 0 0,0 0 1 0 0,0-1-1 0 0,0 1 0 0 0,0 0 0 0 0,0 0 0 0 0,0 0 1 0 0,0-1-1 0 0,0 1 0 0 0,0 0 0 0 0,0 0 1 0 0,0-1-1 0 0,0 1 0 0 0,6-15 90 0 0,41-186-1 0 0,-16 55-82 0 0,-19 94 55 0 0,-8 29-8 0 0,1 1 0 0 0,2 0 1 0 0,14-39-1 0 0,-21 61-52 0 0,0-1 0 0 0,0 1 0 0 0,0 0 0 0 0,0 0 0 0 0,0 0 0 0 0,0-1 0 0 0,0 1 0 0 0,0 0 0 0 0,1 0 0 0 0,-1 0 0 0 0,0 0 0 0 0,0-1 0 0 0,0 1 0 0 0,0 0 0 0 0,0 0 0 0 0,1 0 0 0 0,-1 0 0 0 0,0 0 0 0 0,0 0 0 0 0,0-1 0 0 0,0 1 0 0 0,1 0 0 0 0,-1 0 0 0 0,0 0 0 0 0,0 0 0 0 0,0 0 0 0 0,1 0 0 0 0,-1 0 0 0 0,0 0 0 0 0,0 0 0 0 0,0 0 0 0 0,1 0 0 0 0,-1 0 0 0 0,0 0 0 0 0,0 0 0 0 0,0 0 0 0 0,1 0 0 0 0,-1 0 0 0 0,0 0 0 0 0,0 0 0 0 0,0 0 0 0 0,1 0 0 0 0,-1 1 0 0 0,0-1 0 0 0,0 0 0 0 0,0 0 0 0 0,0 0 0 0 0,1 0 0 0 0,-1 0 0 0 0,0 0 0 0 0,0 1 0 0 0,0-1 0 0 0,0 0 0 0 0,1 0 0 0 0,8 19 6 0 0,3 24 7 0 0,21 208-40 0 0,-10-57-199 0 0,-23-190 193 0 0,1 0-1 0 0,0-1 1 0 0,0 1 0 0 0,0 0 0 0 0,0 0-1 0 0,0-1 1 0 0,1 1 0 0 0,0-1-1 0 0,0 0 1 0 0,0 0 0 0 0,0 0 0 0 0,0 0-1 0 0,0 0 1 0 0,5 5 0 0 0,-7-7 7 0 0,2 0 1 0 0,-1-1 0 0 0,1 1 0 0 0,0 0-1 0 0,0 0 1 0 0,0-1 0 0 0,-1 1 0 0 0,1-1-1 0 0,0 1 1 0 0,0-1 0 0 0,0 0-1 0 0,0 0 1 0 0,0 0 0 0 0,0 0 0 0 0,-1 0-1 0 0,1 0 1 0 0,0-1 0 0 0,0 1 0 0 0,0-1-1 0 0,0 1 1 0 0,0-1 0 0 0,-1 0-1 0 0,1 1 1 0 0,0-1 0 0 0,-1 0 0 0 0,1 0-1 0 0,0 0 1 0 0,-1 0 0 0 0,3-4 0 0 0,3-2-336 0 0,2-1 0 0 0,-1 0 0 0 0,0-1 1 0 0,-1-1-1 0 0,10-14 0 0 0,-5 5-1961 0 0,1 1-1201 0 0</inkml:trace>
  <inkml:trace contextRef="#ctx0" brushRef="#br0" timeOffset="13007">5076 1196 24866 0 0,'4'43'6525'0'0,"-3"-37"-6310"0"0,0-1 0 0 0,0 1 0 0 0,1-1 0 0 0,0 1 0 0 0,4 7 0 0 0,-5-11-258 0 0,0 0 0 0 0,0-1 0 0 0,0 1 0 0 0,0-1 0 0 0,1 1 0 0 0,-1-1 0 0 0,0 0 0 0 0,1 1 0 0 0,-1-1 0 0 0,0 0 0 0 0,0 0 0 0 0,1 0 0 0 0,-1 0 0 0 0,1 0 0 0 0,0 1 0 0 0,3 0 0 0 0,-3-2 70 0 0,1 0 0 0 0,-1 0 0 0 0,1 0 0 0 0,-1 0 1 0 0,1 0-1 0 0,-1-1 0 0 0,1 1 0 0 0,-1-1 1 0 0,1 1-1 0 0,-1-2 0 0 0,0 1 0 0 0,1 0 0 0 0,-1 0 1 0 0,0 0-1 0 0,0-1 0 0 0,3-1 0 0 0,1-2-28 0 0,2 0 0 0 0,-1 0 0 0 0,0-1 0 0 0,-1-1 0 0 0,0 1 1 0 0,0-1-1 0 0,0 1 0 0 0,-1-1 0 0 0,0-1 0 0 0,0 0 0 0 0,-1 0 0 0 0,0 0 0 0 0,0 0 0 0 0,0-1 0 0 0,-1 0 0 0 0,-1 1 0 0 0,1-1 0 0 0,-1-1 0 0 0,-1 2 0 0 0,1-1 0 0 0,-1 0 0 0 0,-1-1 0 0 0,0 1 0 0 0,-1-12 0 0 0,0 18-23 0 0,1 0 1 0 0,-1 0-1 0 0,0 1 0 0 0,1-1 0 0 0,-1 1 0 0 0,-1-1 0 0 0,1 1 1 0 0,0 0-1 0 0,-1-1 0 0 0,1 1 0 0 0,-1 0 0 0 0,1 0 1 0 0,-1 0-1 0 0,0 0 0 0 0,0 0 0 0 0,0 1 0 0 0,0-1 0 0 0,0-1 1 0 0,0 2-1 0 0,-1 0 0 0 0,1-1 0 0 0,0 1 0 0 0,-1 0 0 0 0,2 0 1 0 0,-2 1-1 0 0,1-1 0 0 0,-1 0 0 0 0,1 1 0 0 0,-1-1 0 0 0,0 1 1 0 0,1 0-1 0 0,-1 0 0 0 0,1 0 0 0 0,-1 0 0 0 0,0 1 0 0 0,1-1 1 0 0,-1 1-1 0 0,1 0 0 0 0,-1-1 0 0 0,1 1 0 0 0,-1 0 0 0 0,1 0 1 0 0,0 1-1 0 0,-1-1 0 0 0,1 0 0 0 0,0 2 0 0 0,0-1 0 0 0,1-1 1 0 0,-1 1-1 0 0,0 0 0 0 0,0 0 0 0 0,1 0 0 0 0,-4 4 1 0 0,-1 4 93 0 0,1 1 1 0 0,0-1 0 0 0,0 0 0 0 0,1 0 0 0 0,0 2 0 0 0,1-1 0 0 0,0 0 0 0 0,1 1 0 0 0,0-1-1 0 0,1 0 1 0 0,0 2 0 0 0,1-2 0 0 0,0 0 0 0 0,2 18 0 0 0,1-7-22 0 0,0-1 1 0 0,1 1-1 0 0,1-2 0 0 0,1 1 1 0 0,1-1-1 0 0,17 38 0 0 0,-20-50-43 0 0,1 0-1 0 0,0 1 0 0 0,1-1 0 0 0,-1-1 0 0 0,2 0 0 0 0,-1 0 1 0 0,1 1-1 0 0,0-2 0 0 0,-1 0 0 0 0,2 0 0 0 0,0-1 1 0 0,12 8-1 0 0,-8-8 1 0 0,0 0 0 0 0,1 0 0 0 0,0-1 1 0 0,0-1-1 0 0,0 0 0 0 0,-1-1 0 0 0,27 0 1 0 0,-6-3-36 0 0,0-1 0 0 0,1-2 0 0 0,-1-2 1 0 0,0-1-1 0 0,-1-1 0 0 0,33-15 0 0 0,72-34-3260 0 0,-74 26-5926 0 0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23"/>
  <sheetViews>
    <sheetView showOutlineSymbols="0" workbookViewId="0">
      <selection activeCell="C6" sqref="C6"/>
    </sheetView>
  </sheetViews>
  <sheetFormatPr baseColWidth="10" defaultRowHeight="15" x14ac:dyDescent="0.25"/>
  <cols>
    <col min="1" max="1" width="3.7109375" customWidth="1"/>
    <col min="2" max="2" width="4" customWidth="1"/>
    <col min="4" max="4" width="3.140625" customWidth="1"/>
    <col min="5" max="12" width="3.28515625" customWidth="1"/>
    <col min="13" max="13" width="4.42578125" customWidth="1"/>
    <col min="14" max="29" width="3.42578125" customWidth="1"/>
  </cols>
  <sheetData>
    <row r="3" spans="2:13" ht="15.75" x14ac:dyDescent="0.25">
      <c r="B3" s="41" t="s">
        <v>49</v>
      </c>
    </row>
    <row r="4" spans="2:13" ht="15.75" x14ac:dyDescent="0.25">
      <c r="B4" s="41"/>
    </row>
    <row r="5" spans="2:13" x14ac:dyDescent="0.25">
      <c r="C5" s="32" t="s">
        <v>50</v>
      </c>
    </row>
    <row r="7" spans="2:13" x14ac:dyDescent="0.25">
      <c r="D7" s="9">
        <v>1</v>
      </c>
      <c r="E7" s="9">
        <v>2</v>
      </c>
      <c r="F7" s="9">
        <v>3</v>
      </c>
      <c r="G7" s="9">
        <v>4</v>
      </c>
      <c r="H7" s="9">
        <v>5</v>
      </c>
      <c r="I7" s="9">
        <v>6</v>
      </c>
      <c r="J7" s="9">
        <v>7</v>
      </c>
      <c r="K7" s="9">
        <v>8</v>
      </c>
      <c r="L7" s="9">
        <v>9</v>
      </c>
      <c r="M7" s="9">
        <v>10</v>
      </c>
    </row>
    <row r="8" spans="2:13" x14ac:dyDescent="0.25">
      <c r="C8" s="42">
        <f t="array" ref="C8:C17">TRANSPOSE(Mat_Ligne)</f>
        <v>1</v>
      </c>
    </row>
    <row r="9" spans="2:13" x14ac:dyDescent="0.25">
      <c r="C9" s="42">
        <v>2</v>
      </c>
    </row>
    <row r="10" spans="2:13" x14ac:dyDescent="0.25">
      <c r="C10" s="42">
        <v>3</v>
      </c>
    </row>
    <row r="11" spans="2:13" x14ac:dyDescent="0.25">
      <c r="C11" s="42">
        <v>4</v>
      </c>
    </row>
    <row r="12" spans="2:13" x14ac:dyDescent="0.25">
      <c r="C12" s="42">
        <v>5</v>
      </c>
    </row>
    <row r="13" spans="2:13" x14ac:dyDescent="0.25">
      <c r="C13" s="42">
        <v>6</v>
      </c>
    </row>
    <row r="14" spans="2:13" x14ac:dyDescent="0.25">
      <c r="C14" s="42">
        <v>7</v>
      </c>
    </row>
    <row r="15" spans="2:13" x14ac:dyDescent="0.25">
      <c r="C15" s="42">
        <v>8</v>
      </c>
    </row>
    <row r="16" spans="2:13" x14ac:dyDescent="0.25">
      <c r="C16" s="42">
        <v>9</v>
      </c>
    </row>
    <row r="17" spans="3:3" x14ac:dyDescent="0.25">
      <c r="C17" s="42">
        <v>10</v>
      </c>
    </row>
    <row r="23" spans="3:3" x14ac:dyDescent="0.25">
      <c r="C23" s="32"/>
    </row>
  </sheetData>
  <phoneticPr fontId="8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C80"/>
  <sheetViews>
    <sheetView tabSelected="1" showOutlineSymbols="0" zoomScale="130" zoomScaleNormal="130" workbookViewId="0">
      <selection activeCell="L1" sqref="L1"/>
    </sheetView>
  </sheetViews>
  <sheetFormatPr baseColWidth="10" defaultRowHeight="15" x14ac:dyDescent="0.25"/>
  <cols>
    <col min="1" max="1" width="1.42578125" customWidth="1"/>
    <col min="2" max="2" width="10.85546875" customWidth="1"/>
    <col min="3" max="26" width="4.7109375" customWidth="1"/>
    <col min="27" max="29" width="7" customWidth="1"/>
    <col min="30" max="38" width="4.7109375" customWidth="1"/>
  </cols>
  <sheetData>
    <row r="1" spans="2:11" ht="22.5" customHeight="1" x14ac:dyDescent="0.25"/>
    <row r="2" spans="2:11" ht="22.5" customHeight="1" x14ac:dyDescent="0.3">
      <c r="C2" s="2" t="s">
        <v>5</v>
      </c>
    </row>
    <row r="3" spans="2:11" ht="22.5" customHeight="1" x14ac:dyDescent="0.25"/>
    <row r="4" spans="2:11" ht="22.5" customHeight="1" x14ac:dyDescent="0.3">
      <c r="B4" s="30" t="s">
        <v>6</v>
      </c>
    </row>
    <row r="5" spans="2:11" ht="22.5" customHeight="1" thickBot="1" x14ac:dyDescent="0.3"/>
    <row r="6" spans="2:11" ht="22.5" customHeight="1" thickBot="1" x14ac:dyDescent="0.3">
      <c r="B6" s="4" t="s">
        <v>52</v>
      </c>
      <c r="C6" s="5">
        <v>2</v>
      </c>
      <c r="D6" s="6">
        <v>6</v>
      </c>
      <c r="E6" s="7">
        <v>8</v>
      </c>
      <c r="G6" s="35" t="s">
        <v>56</v>
      </c>
      <c r="H6" s="14">
        <v>7</v>
      </c>
      <c r="I6" s="15">
        <v>8</v>
      </c>
      <c r="J6" s="16">
        <v>4</v>
      </c>
    </row>
    <row r="7" spans="2:11" ht="22.5" customHeight="1" thickBot="1" x14ac:dyDescent="0.3">
      <c r="C7" s="8">
        <v>4</v>
      </c>
      <c r="D7" s="9">
        <v>5</v>
      </c>
      <c r="E7" s="10">
        <v>1</v>
      </c>
      <c r="G7" s="9"/>
    </row>
    <row r="8" spans="2:11" ht="22.5" customHeight="1" thickBot="1" x14ac:dyDescent="0.3">
      <c r="C8" s="11">
        <v>0</v>
      </c>
      <c r="D8" s="12">
        <v>2</v>
      </c>
      <c r="E8" s="13">
        <v>10</v>
      </c>
      <c r="G8" s="35" t="s">
        <v>57</v>
      </c>
      <c r="H8" s="14">
        <v>1</v>
      </c>
      <c r="I8" s="15">
        <v>0</v>
      </c>
      <c r="J8" s="16">
        <v>6</v>
      </c>
    </row>
    <row r="9" spans="2:11" ht="22.5" customHeight="1" thickBot="1" x14ac:dyDescent="0.3"/>
    <row r="10" spans="2:11" ht="22.5" customHeight="1" thickBot="1" x14ac:dyDescent="0.3">
      <c r="B10" s="4" t="s">
        <v>53</v>
      </c>
      <c r="C10" s="5">
        <v>1</v>
      </c>
      <c r="D10" s="6">
        <v>0</v>
      </c>
      <c r="E10" s="7">
        <v>0</v>
      </c>
      <c r="G10" s="36" t="s">
        <v>58</v>
      </c>
      <c r="H10" s="17">
        <v>5</v>
      </c>
      <c r="J10" s="36" t="s">
        <v>59</v>
      </c>
      <c r="K10" s="17">
        <v>1</v>
      </c>
    </row>
    <row r="11" spans="2:11" ht="22.5" customHeight="1" x14ac:dyDescent="0.25">
      <c r="C11" s="8">
        <v>0</v>
      </c>
      <c r="D11" s="9">
        <v>1</v>
      </c>
      <c r="E11" s="10">
        <v>0</v>
      </c>
      <c r="H11" s="18">
        <v>-3</v>
      </c>
      <c r="K11" s="18">
        <v>1</v>
      </c>
    </row>
    <row r="12" spans="2:11" ht="22.5" customHeight="1" thickBot="1" x14ac:dyDescent="0.3">
      <c r="C12" s="11">
        <v>0</v>
      </c>
      <c r="D12" s="12">
        <v>0</v>
      </c>
      <c r="E12" s="13">
        <v>1</v>
      </c>
      <c r="H12" s="19">
        <v>4</v>
      </c>
      <c r="K12" s="19">
        <v>1</v>
      </c>
    </row>
    <row r="13" spans="2:11" ht="22.5" customHeight="1" thickBot="1" x14ac:dyDescent="0.3">
      <c r="C13" s="9"/>
      <c r="D13" s="9"/>
      <c r="E13" s="9"/>
      <c r="H13" s="9"/>
      <c r="K13" s="9"/>
    </row>
    <row r="14" spans="2:11" ht="22.5" customHeight="1" thickBot="1" x14ac:dyDescent="0.3">
      <c r="B14" s="4" t="s">
        <v>54</v>
      </c>
      <c r="C14" s="5" cm="1">
        <f t="array" ref="C14:E16">MDETERM(M_A)*MINVERSE(M_A)</f>
        <v>48</v>
      </c>
      <c r="D14" s="6">
        <v>-44</v>
      </c>
      <c r="E14" s="7">
        <v>-34</v>
      </c>
      <c r="G14" s="36" t="s">
        <v>60</v>
      </c>
      <c r="H14" s="17">
        <v>2</v>
      </c>
      <c r="J14" s="36" t="s">
        <v>61</v>
      </c>
      <c r="K14" s="17">
        <v>0</v>
      </c>
    </row>
    <row r="15" spans="2:11" ht="22.5" customHeight="1" x14ac:dyDescent="0.25">
      <c r="C15" s="8">
        <v>-40</v>
      </c>
      <c r="D15" s="9">
        <v>20</v>
      </c>
      <c r="E15" s="10">
        <v>30</v>
      </c>
      <c r="H15" s="18">
        <v>7</v>
      </c>
      <c r="K15" s="18">
        <v>0</v>
      </c>
    </row>
    <row r="16" spans="2:11" ht="22.5" customHeight="1" thickBot="1" x14ac:dyDescent="0.3">
      <c r="C16" s="11">
        <v>7.9999999999999991</v>
      </c>
      <c r="D16" s="12">
        <v>-3.9999999999999996</v>
      </c>
      <c r="E16" s="13">
        <v>-14</v>
      </c>
      <c r="H16" s="19">
        <v>4</v>
      </c>
      <c r="K16" s="19">
        <v>0</v>
      </c>
    </row>
    <row r="17" spans="2:29" ht="22.5" customHeight="1" thickBot="1" x14ac:dyDescent="0.3">
      <c r="C17" s="9"/>
      <c r="D17" s="9"/>
      <c r="E17" s="9"/>
      <c r="H17" s="9"/>
      <c r="K17" s="9"/>
    </row>
    <row r="18" spans="2:29" ht="22.5" customHeight="1" thickBot="1" x14ac:dyDescent="0.3">
      <c r="B18" s="4" t="s">
        <v>55</v>
      </c>
      <c r="C18" s="5">
        <v>3</v>
      </c>
      <c r="D18" s="6">
        <v>0</v>
      </c>
      <c r="E18" s="7">
        <v>0</v>
      </c>
      <c r="G18" s="37" t="s">
        <v>62</v>
      </c>
      <c r="H18" s="5">
        <v>0</v>
      </c>
      <c r="I18" s="6">
        <v>0</v>
      </c>
      <c r="J18" s="7">
        <v>0</v>
      </c>
      <c r="K18" s="9"/>
    </row>
    <row r="19" spans="2:29" ht="22.5" customHeight="1" x14ac:dyDescent="0.25">
      <c r="C19" s="8">
        <v>4</v>
      </c>
      <c r="D19" s="9">
        <v>5</v>
      </c>
      <c r="E19" s="10">
        <v>0</v>
      </c>
      <c r="H19" s="8">
        <v>0</v>
      </c>
      <c r="I19" s="9">
        <v>0</v>
      </c>
      <c r="J19" s="10">
        <v>0</v>
      </c>
      <c r="K19" s="9"/>
    </row>
    <row r="20" spans="2:29" ht="22.5" customHeight="1" thickBot="1" x14ac:dyDescent="0.3">
      <c r="C20" s="11">
        <v>5</v>
      </c>
      <c r="D20" s="12">
        <v>4</v>
      </c>
      <c r="E20" s="13">
        <v>1</v>
      </c>
      <c r="H20" s="11">
        <v>0</v>
      </c>
      <c r="I20" s="12">
        <v>0</v>
      </c>
      <c r="J20" s="13">
        <v>0</v>
      </c>
      <c r="K20" s="9"/>
    </row>
    <row r="21" spans="2:29" ht="22.5" customHeight="1" thickBot="1" x14ac:dyDescent="0.3">
      <c r="C21" s="9"/>
      <c r="D21" s="9"/>
      <c r="E21" s="9"/>
      <c r="H21" s="9"/>
      <c r="K21" s="9"/>
    </row>
    <row r="22" spans="2:29" ht="22.5" customHeight="1" thickBot="1" x14ac:dyDescent="0.35">
      <c r="B22" s="30" t="s">
        <v>32</v>
      </c>
      <c r="H22" s="9"/>
      <c r="K22" s="9"/>
      <c r="Z22" s="3" t="s">
        <v>33</v>
      </c>
    </row>
    <row r="23" spans="2:29" ht="22.5" customHeight="1" thickBot="1" x14ac:dyDescent="0.3">
      <c r="B23" s="4" t="s">
        <v>33</v>
      </c>
      <c r="C23" s="5"/>
      <c r="D23" s="6"/>
      <c r="E23" s="7"/>
      <c r="G23" s="3" t="s">
        <v>35</v>
      </c>
      <c r="H23" s="14"/>
      <c r="I23" s="15"/>
      <c r="J23" s="16"/>
      <c r="O23" s="4" t="s">
        <v>0</v>
      </c>
      <c r="P23" s="5"/>
      <c r="Q23" s="6"/>
      <c r="R23" s="7"/>
      <c r="S23" s="44" t="s">
        <v>63</v>
      </c>
      <c r="T23" s="45"/>
      <c r="U23" s="4" t="s">
        <v>31</v>
      </c>
      <c r="V23" s="5"/>
      <c r="W23" s="6"/>
      <c r="X23" s="7"/>
      <c r="Y23" s="44" t="s">
        <v>13</v>
      </c>
      <c r="Z23" s="45"/>
      <c r="AA23" s="5"/>
      <c r="AB23" s="6"/>
      <c r="AC23" s="7"/>
    </row>
    <row r="24" spans="2:29" ht="22.5" customHeight="1" thickBot="1" x14ac:dyDescent="0.3">
      <c r="C24" s="8"/>
      <c r="D24" s="9"/>
      <c r="E24" s="10"/>
      <c r="P24" s="8"/>
      <c r="Q24" s="9"/>
      <c r="R24" s="10"/>
      <c r="V24" s="8"/>
      <c r="W24" s="9"/>
      <c r="X24" s="10"/>
      <c r="AA24" s="8"/>
      <c r="AB24" s="9"/>
      <c r="AC24" s="10"/>
    </row>
    <row r="25" spans="2:29" ht="22.5" customHeight="1" thickBot="1" x14ac:dyDescent="0.3">
      <c r="C25" s="11"/>
      <c r="D25" s="12"/>
      <c r="E25" s="13"/>
      <c r="G25" s="4" t="s">
        <v>64</v>
      </c>
      <c r="H25" s="17"/>
      <c r="J25" s="4" t="s">
        <v>51</v>
      </c>
      <c r="K25" s="17"/>
      <c r="P25" s="11"/>
      <c r="Q25" s="12"/>
      <c r="R25" s="13"/>
      <c r="V25" s="11"/>
      <c r="W25" s="12"/>
      <c r="X25" s="13"/>
      <c r="AA25" s="11"/>
      <c r="AB25" s="12"/>
      <c r="AC25" s="13"/>
    </row>
    <row r="26" spans="2:29" ht="22.5" customHeight="1" thickBot="1" x14ac:dyDescent="0.3">
      <c r="H26" s="18"/>
      <c r="K26" s="18"/>
    </row>
    <row r="27" spans="2:29" ht="22.5" customHeight="1" thickBot="1" x14ac:dyDescent="0.3">
      <c r="H27" s="19"/>
      <c r="K27" s="19"/>
      <c r="Z27" s="3" t="s">
        <v>35</v>
      </c>
    </row>
    <row r="28" spans="2:29" ht="22.5" customHeight="1" thickBot="1" x14ac:dyDescent="0.3">
      <c r="H28" s="9"/>
      <c r="K28" s="9"/>
      <c r="O28" s="35" t="s">
        <v>1</v>
      </c>
      <c r="P28" s="14"/>
      <c r="Q28" s="15"/>
      <c r="R28" s="16"/>
      <c r="S28" s="44" t="s">
        <v>63</v>
      </c>
      <c r="T28" s="45"/>
      <c r="U28" s="35" t="s">
        <v>34</v>
      </c>
      <c r="V28" s="14"/>
      <c r="W28" s="15"/>
      <c r="X28" s="16"/>
      <c r="Y28" s="44" t="s">
        <v>13</v>
      </c>
      <c r="Z28" s="45"/>
      <c r="AA28" s="14"/>
      <c r="AB28" s="15"/>
      <c r="AC28" s="16"/>
    </row>
    <row r="29" spans="2:29" ht="22.5" customHeight="1" x14ac:dyDescent="0.3">
      <c r="B29" s="30" t="s">
        <v>25</v>
      </c>
      <c r="H29" s="9"/>
      <c r="K29" s="9"/>
    </row>
    <row r="30" spans="2:29" ht="22.5" customHeight="1" thickBot="1" x14ac:dyDescent="0.35">
      <c r="B30" s="30"/>
      <c r="H30" s="9"/>
      <c r="K30" s="9"/>
    </row>
    <row r="31" spans="2:29" ht="22.5" customHeight="1" thickBot="1" x14ac:dyDescent="0.3">
      <c r="B31" s="4" t="s">
        <v>26</v>
      </c>
      <c r="C31" s="5"/>
      <c r="D31" s="6"/>
      <c r="E31" s="7"/>
      <c r="G31" s="3" t="s">
        <v>27</v>
      </c>
      <c r="H31" s="14"/>
      <c r="I31" s="15"/>
      <c r="J31" s="16"/>
      <c r="P31" s="4" t="s">
        <v>0</v>
      </c>
      <c r="Q31" s="5"/>
      <c r="R31" s="6"/>
      <c r="S31" s="7"/>
      <c r="Z31" s="4" t="s">
        <v>26</v>
      </c>
      <c r="AA31" s="5"/>
      <c r="AB31" s="6"/>
      <c r="AC31" s="7"/>
    </row>
    <row r="32" spans="2:29" ht="22.5" customHeight="1" thickBot="1" x14ac:dyDescent="0.3">
      <c r="C32" s="8"/>
      <c r="D32" s="9"/>
      <c r="E32" s="10"/>
      <c r="Q32" s="8"/>
      <c r="R32" s="9"/>
      <c r="S32" s="10"/>
      <c r="AA32" s="8"/>
      <c r="AB32" s="9"/>
      <c r="AC32" s="10"/>
    </row>
    <row r="33" spans="2:29" ht="22.5" customHeight="1" thickBot="1" x14ac:dyDescent="0.3">
      <c r="C33" s="11"/>
      <c r="D33" s="12"/>
      <c r="E33" s="13"/>
      <c r="G33" s="4" t="s">
        <v>28</v>
      </c>
      <c r="H33" s="17"/>
      <c r="J33" s="4" t="s">
        <v>29</v>
      </c>
      <c r="K33" s="17"/>
      <c r="Q33" s="11"/>
      <c r="R33" s="12"/>
      <c r="S33" s="13"/>
      <c r="AA33" s="11"/>
      <c r="AB33" s="12"/>
      <c r="AC33" s="13"/>
    </row>
    <row r="34" spans="2:29" ht="22.5" customHeight="1" x14ac:dyDescent="0.25">
      <c r="H34" s="18"/>
      <c r="K34" s="18"/>
    </row>
    <row r="35" spans="2:29" ht="22.5" customHeight="1" thickBot="1" x14ac:dyDescent="0.3">
      <c r="H35" s="19"/>
      <c r="K35" s="19"/>
    </row>
    <row r="36" spans="2:29" ht="22.5" customHeight="1" thickBot="1" x14ac:dyDescent="0.3">
      <c r="H36" s="9"/>
      <c r="K36" s="9"/>
      <c r="P36" s="35" t="s">
        <v>1</v>
      </c>
      <c r="Q36" s="14"/>
      <c r="R36" s="15"/>
      <c r="S36" s="16"/>
      <c r="Z36" s="3" t="s">
        <v>27</v>
      </c>
      <c r="AA36" s="14"/>
      <c r="AB36" s="15"/>
      <c r="AC36" s="16"/>
    </row>
    <row r="37" spans="2:29" ht="22.5" customHeight="1" x14ac:dyDescent="0.25">
      <c r="H37" s="9"/>
      <c r="K37" s="9"/>
    </row>
    <row r="38" spans="2:29" ht="22.5" customHeight="1" x14ac:dyDescent="0.25">
      <c r="B38" s="32" t="s">
        <v>36</v>
      </c>
      <c r="H38" s="9"/>
      <c r="K38" s="9"/>
    </row>
    <row r="39" spans="2:29" ht="22.5" customHeight="1" x14ac:dyDescent="0.25">
      <c r="B39" t="s">
        <v>37</v>
      </c>
      <c r="H39" s="9"/>
      <c r="K39" s="9"/>
    </row>
    <row r="40" spans="2:29" ht="22.5" customHeight="1" thickBot="1" x14ac:dyDescent="0.3">
      <c r="H40" s="9"/>
      <c r="K40" s="9"/>
    </row>
    <row r="41" spans="2:29" ht="22.5" customHeight="1" thickBot="1" x14ac:dyDescent="0.35">
      <c r="B41" s="30" t="s">
        <v>39</v>
      </c>
      <c r="Z41" s="43" t="s">
        <v>65</v>
      </c>
    </row>
    <row r="42" spans="2:29" ht="22.5" customHeight="1" thickBot="1" x14ac:dyDescent="0.3">
      <c r="B42" s="4" t="s">
        <v>40</v>
      </c>
      <c r="C42" s="5"/>
      <c r="D42" s="6"/>
      <c r="E42" s="7"/>
      <c r="H42" s="4" t="s">
        <v>0</v>
      </c>
      <c r="I42" s="5"/>
      <c r="J42" s="6"/>
      <c r="K42" s="7"/>
      <c r="U42" s="4" t="s">
        <v>0</v>
      </c>
      <c r="V42" s="5"/>
      <c r="W42" s="6"/>
      <c r="X42" s="7"/>
      <c r="AA42" s="5"/>
      <c r="AB42" s="6"/>
      <c r="AC42" s="7"/>
    </row>
    <row r="43" spans="2:29" ht="22.5" customHeight="1" x14ac:dyDescent="0.25">
      <c r="C43" s="8"/>
      <c r="D43" s="9"/>
      <c r="E43" s="10"/>
      <c r="I43" s="8"/>
      <c r="J43" s="9"/>
      <c r="K43" s="10"/>
      <c r="V43" s="8"/>
      <c r="W43" s="9"/>
      <c r="X43" s="10"/>
      <c r="AA43" s="8"/>
      <c r="AB43" s="9"/>
      <c r="AC43" s="10"/>
    </row>
    <row r="44" spans="2:29" ht="22.5" customHeight="1" thickBot="1" x14ac:dyDescent="0.3">
      <c r="C44" s="11"/>
      <c r="D44" s="12"/>
      <c r="E44" s="13"/>
      <c r="I44" s="11"/>
      <c r="J44" s="12"/>
      <c r="K44" s="13"/>
      <c r="V44" s="11"/>
      <c r="W44" s="12"/>
      <c r="X44" s="13"/>
      <c r="AA44" s="11"/>
      <c r="AB44" s="12"/>
      <c r="AC44" s="13"/>
    </row>
    <row r="45" spans="2:29" ht="22.5" customHeight="1" thickBot="1" x14ac:dyDescent="0.3"/>
    <row r="46" spans="2:29" ht="22.5" customHeight="1" thickBot="1" x14ac:dyDescent="0.3">
      <c r="H46" s="36" t="s">
        <v>2</v>
      </c>
      <c r="I46" s="28">
        <f t="array" ref="I46:I48">M_C</f>
        <v>5</v>
      </c>
    </row>
    <row r="47" spans="2:29" ht="22.5" customHeight="1" thickBot="1" x14ac:dyDescent="0.3">
      <c r="B47" s="40" t="s">
        <v>41</v>
      </c>
      <c r="C47" s="14">
        <f t="array" ref="C47:E47">TRANSPOSE(M_C)</f>
        <v>5</v>
      </c>
      <c r="D47" s="15">
        <v>-3</v>
      </c>
      <c r="E47" s="16">
        <v>4</v>
      </c>
      <c r="I47" s="34">
        <v>-3</v>
      </c>
    </row>
    <row r="48" spans="2:29" ht="22.5" customHeight="1" thickBot="1" x14ac:dyDescent="0.3">
      <c r="I48" s="29">
        <v>4</v>
      </c>
    </row>
    <row r="49" spans="2:29" ht="22.5" customHeight="1" thickBot="1" x14ac:dyDescent="0.3">
      <c r="B49" s="32" t="s">
        <v>42</v>
      </c>
      <c r="Z49" s="36" t="s">
        <v>2</v>
      </c>
      <c r="AA49" s="17">
        <v>5</v>
      </c>
    </row>
    <row r="50" spans="2:29" ht="22.5" customHeight="1" x14ac:dyDescent="0.25">
      <c r="B50" s="32"/>
      <c r="AA50" s="18">
        <v>-3</v>
      </c>
    </row>
    <row r="51" spans="2:29" ht="22.5" customHeight="1" thickBot="1" x14ac:dyDescent="0.3">
      <c r="AA51" s="19">
        <v>4</v>
      </c>
    </row>
    <row r="52" spans="2:29" ht="22.5" customHeight="1" thickBot="1" x14ac:dyDescent="0.35">
      <c r="B52" s="30" t="s">
        <v>46</v>
      </c>
    </row>
    <row r="53" spans="2:29" ht="22.5" customHeight="1" thickBot="1" x14ac:dyDescent="0.3">
      <c r="C53" s="1" t="s">
        <v>4</v>
      </c>
      <c r="V53" s="4" t="s">
        <v>0</v>
      </c>
      <c r="W53" s="5">
        <f t="array" ref="W53:Y55">M_A</f>
        <v>2</v>
      </c>
      <c r="X53" s="6">
        <v>6</v>
      </c>
      <c r="Y53" s="7">
        <v>8</v>
      </c>
      <c r="AA53" s="5"/>
      <c r="AB53" s="6"/>
      <c r="AC53" s="7"/>
    </row>
    <row r="54" spans="2:29" ht="22.5" customHeight="1" thickBot="1" x14ac:dyDescent="0.3">
      <c r="B54" s="3" t="s">
        <v>3</v>
      </c>
      <c r="C54" s="17" cm="1">
        <f t="array" ref="C54:C56">MMULT(M_A,M_C)</f>
        <v>24</v>
      </c>
      <c r="D54" s="9"/>
      <c r="E54" s="9"/>
      <c r="W54" s="8">
        <v>4</v>
      </c>
      <c r="X54" s="9">
        <v>5</v>
      </c>
      <c r="Y54" s="10">
        <v>1</v>
      </c>
      <c r="AA54" s="8"/>
      <c r="AB54" s="9"/>
      <c r="AC54" s="10"/>
    </row>
    <row r="55" spans="2:29" ht="22.5" customHeight="1" thickBot="1" x14ac:dyDescent="0.3">
      <c r="C55" s="18">
        <v>9</v>
      </c>
      <c r="D55" s="9"/>
      <c r="E55" s="9"/>
      <c r="W55" s="11">
        <v>0</v>
      </c>
      <c r="X55" s="12">
        <v>2</v>
      </c>
      <c r="Y55" s="13">
        <v>10</v>
      </c>
      <c r="AA55" s="11"/>
      <c r="AB55" s="12"/>
      <c r="AC55" s="13"/>
    </row>
    <row r="56" spans="2:29" ht="22.5" customHeight="1" thickBot="1" x14ac:dyDescent="0.3">
      <c r="C56" s="19">
        <v>34</v>
      </c>
      <c r="D56" s="9"/>
      <c r="E56" s="9"/>
    </row>
    <row r="57" spans="2:29" ht="22.5" customHeight="1" thickBot="1" x14ac:dyDescent="0.3"/>
    <row r="58" spans="2:29" ht="15.75" thickBot="1" x14ac:dyDescent="0.3">
      <c r="C58" s="32" t="s">
        <v>23</v>
      </c>
      <c r="Z58" s="4" t="s">
        <v>0</v>
      </c>
      <c r="AA58" s="5">
        <f t="array" ref="AA58:AC60">M_A</f>
        <v>2</v>
      </c>
      <c r="AB58" s="6">
        <v>6</v>
      </c>
      <c r="AC58" s="7">
        <v>8</v>
      </c>
    </row>
    <row r="59" spans="2:29" ht="15.75" thickBot="1" x14ac:dyDescent="0.3">
      <c r="B59" s="3" t="s">
        <v>24</v>
      </c>
      <c r="C59" s="14"/>
      <c r="D59" s="15"/>
      <c r="E59" s="16"/>
      <c r="AA59" s="8">
        <v>4</v>
      </c>
      <c r="AB59" s="9">
        <v>5</v>
      </c>
      <c r="AC59" s="10">
        <v>1</v>
      </c>
    </row>
    <row r="60" spans="2:29" ht="15.75" thickBot="1" x14ac:dyDescent="0.3">
      <c r="AA60" s="11">
        <v>0</v>
      </c>
      <c r="AB60" s="12">
        <v>2</v>
      </c>
      <c r="AC60" s="13">
        <v>10</v>
      </c>
    </row>
    <row r="61" spans="2:29" ht="21" customHeight="1" thickBot="1" x14ac:dyDescent="0.3">
      <c r="B61" s="4" t="s">
        <v>38</v>
      </c>
      <c r="C61" s="14"/>
      <c r="D61" s="38"/>
      <c r="E61" s="39"/>
    </row>
    <row r="62" spans="2:29" ht="15.75" thickBot="1" x14ac:dyDescent="0.3">
      <c r="C62" s="9"/>
    </row>
    <row r="63" spans="2:29" ht="24.75" customHeight="1" thickBot="1" x14ac:dyDescent="0.3">
      <c r="B63" s="4" t="s">
        <v>43</v>
      </c>
      <c r="C63" s="14"/>
      <c r="D63" s="38"/>
      <c r="E63" s="39"/>
      <c r="V63" s="3" t="s">
        <v>1</v>
      </c>
      <c r="W63" s="14">
        <f t="array" ref="W63:Y63">M_B</f>
        <v>7</v>
      </c>
      <c r="X63" s="15">
        <v>8</v>
      </c>
      <c r="Y63" s="16">
        <v>4</v>
      </c>
      <c r="AA63" s="14">
        <f>$W63*AA58+$X63*AA59+$Y63*AA60</f>
        <v>46</v>
      </c>
      <c r="AB63" s="15">
        <f t="shared" ref="AB63:AC63" si="0">$W63*AB58+$X63*AB59+$Y63*AB60</f>
        <v>90</v>
      </c>
      <c r="AC63" s="16">
        <f t="shared" si="0"/>
        <v>104</v>
      </c>
    </row>
    <row r="66" spans="2:29" x14ac:dyDescent="0.25">
      <c r="B66" s="32" t="s">
        <v>48</v>
      </c>
    </row>
    <row r="67" spans="2:29" ht="15.75" thickBot="1" x14ac:dyDescent="0.3">
      <c r="B67" s="32"/>
    </row>
    <row r="68" spans="2:29" ht="15.75" thickBot="1" x14ac:dyDescent="0.3">
      <c r="B68" s="4" t="s">
        <v>66</v>
      </c>
      <c r="C68" s="17"/>
      <c r="F68" s="4" t="s">
        <v>67</v>
      </c>
      <c r="G68" s="17"/>
    </row>
    <row r="69" spans="2:29" x14ac:dyDescent="0.25">
      <c r="C69" s="18"/>
      <c r="G69" s="18"/>
    </row>
    <row r="70" spans="2:29" ht="15.75" thickBot="1" x14ac:dyDescent="0.3">
      <c r="C70" s="19"/>
      <c r="G70" s="19"/>
    </row>
    <row r="71" spans="2:29" ht="15.75" thickBot="1" x14ac:dyDescent="0.3">
      <c r="Z71" s="36" t="s">
        <v>2</v>
      </c>
      <c r="AA71" s="17">
        <v>5</v>
      </c>
    </row>
    <row r="72" spans="2:29" x14ac:dyDescent="0.25">
      <c r="B72" s="32" t="s">
        <v>44</v>
      </c>
      <c r="AA72" s="18">
        <v>-3</v>
      </c>
    </row>
    <row r="73" spans="2:29" ht="15.75" thickBot="1" x14ac:dyDescent="0.3">
      <c r="AA73" s="19">
        <v>4</v>
      </c>
    </row>
    <row r="74" spans="2:29" ht="15.75" thickBot="1" x14ac:dyDescent="0.3">
      <c r="B74" s="4" t="s">
        <v>45</v>
      </c>
      <c r="C74" s="17"/>
      <c r="F74" s="4" t="s">
        <v>68</v>
      </c>
      <c r="G74" s="17"/>
    </row>
    <row r="75" spans="2:29" ht="15.75" thickBot="1" x14ac:dyDescent="0.3">
      <c r="C75" s="18"/>
      <c r="G75" s="18"/>
      <c r="V75" s="4" t="s">
        <v>30</v>
      </c>
      <c r="W75" s="5">
        <f t="array" ref="W75:Y77">M_Ind</f>
        <v>1</v>
      </c>
      <c r="X75" s="6">
        <v>0</v>
      </c>
      <c r="Y75" s="7">
        <v>0</v>
      </c>
      <c r="AA75" s="5"/>
      <c r="AB75" s="6"/>
      <c r="AC75" s="7"/>
    </row>
    <row r="76" spans="2:29" ht="15.75" thickBot="1" x14ac:dyDescent="0.3">
      <c r="C76" s="19"/>
      <c r="G76" s="19"/>
      <c r="W76" s="8">
        <v>0</v>
      </c>
      <c r="X76" s="9">
        <v>1</v>
      </c>
      <c r="Y76" s="10">
        <v>0</v>
      </c>
      <c r="AA76" s="8"/>
      <c r="AB76" s="9"/>
      <c r="AC76" s="10"/>
    </row>
    <row r="77" spans="2:29" ht="15.75" thickBot="1" x14ac:dyDescent="0.3">
      <c r="W77" s="11">
        <v>0</v>
      </c>
      <c r="X77" s="12">
        <v>0</v>
      </c>
      <c r="Y77" s="13">
        <v>1</v>
      </c>
      <c r="AA77" s="11"/>
      <c r="AB77" s="12"/>
      <c r="AC77" s="13"/>
    </row>
    <row r="79" spans="2:29" x14ac:dyDescent="0.25">
      <c r="B79" s="32" t="s">
        <v>47</v>
      </c>
    </row>
    <row r="80" spans="2:29" x14ac:dyDescent="0.25">
      <c r="B80" t="s">
        <v>37</v>
      </c>
    </row>
  </sheetData>
  <mergeCells count="4">
    <mergeCell ref="S23:T23"/>
    <mergeCell ref="Y23:Z23"/>
    <mergeCell ref="S28:T28"/>
    <mergeCell ref="Y28:Z28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26"/>
  <sheetViews>
    <sheetView showOutlineSymbols="0" workbookViewId="0"/>
  </sheetViews>
  <sheetFormatPr baseColWidth="10" defaultRowHeight="15" x14ac:dyDescent="0.25"/>
  <cols>
    <col min="1" max="1" width="1.42578125" customWidth="1"/>
    <col min="2" max="2" width="20.140625" customWidth="1"/>
    <col min="3" max="38" width="4.7109375" customWidth="1"/>
  </cols>
  <sheetData>
    <row r="1" spans="2:13" ht="22.5" customHeight="1" x14ac:dyDescent="0.25"/>
    <row r="2" spans="2:13" ht="22.5" customHeight="1" x14ac:dyDescent="0.3">
      <c r="C2" s="2" t="s">
        <v>5</v>
      </c>
    </row>
    <row r="3" spans="2:13" ht="22.5" customHeight="1" x14ac:dyDescent="0.25"/>
    <row r="4" spans="2:13" ht="22.5" customHeight="1" x14ac:dyDescent="0.3">
      <c r="B4" s="30" t="s">
        <v>18</v>
      </c>
    </row>
    <row r="5" spans="2:13" ht="22.5" customHeight="1" x14ac:dyDescent="0.25">
      <c r="B5" t="s">
        <v>7</v>
      </c>
    </row>
    <row r="6" spans="2:13" x14ac:dyDescent="0.25">
      <c r="B6" t="s">
        <v>8</v>
      </c>
    </row>
    <row r="7" spans="2:13" x14ac:dyDescent="0.25">
      <c r="C7" t="s">
        <v>12</v>
      </c>
    </row>
    <row r="8" spans="2:13" x14ac:dyDescent="0.25">
      <c r="C8" t="s">
        <v>11</v>
      </c>
    </row>
    <row r="9" spans="2:13" ht="15.75" thickBot="1" x14ac:dyDescent="0.3"/>
    <row r="10" spans="2:13" ht="15.75" thickBot="1" x14ac:dyDescent="0.3">
      <c r="B10" s="4" t="s">
        <v>71</v>
      </c>
      <c r="C10" s="5">
        <v>2</v>
      </c>
      <c r="D10" s="7">
        <v>4</v>
      </c>
    </row>
    <row r="11" spans="2:13" ht="15.75" thickBot="1" x14ac:dyDescent="0.3">
      <c r="C11" s="11">
        <v>3</v>
      </c>
      <c r="D11" s="13">
        <v>4</v>
      </c>
    </row>
    <row r="12" spans="2:13" ht="15.75" thickBot="1" x14ac:dyDescent="0.3"/>
    <row r="13" spans="2:13" ht="15.75" thickBot="1" x14ac:dyDescent="0.3">
      <c r="B13" s="4" t="s">
        <v>70</v>
      </c>
      <c r="C13" s="17">
        <v>15</v>
      </c>
    </row>
    <row r="14" spans="2:13" ht="15.75" thickBot="1" x14ac:dyDescent="0.3">
      <c r="C14" s="19">
        <v>12</v>
      </c>
    </row>
    <row r="15" spans="2:13" ht="15.75" thickBot="1" x14ac:dyDescent="0.3">
      <c r="H15" t="s">
        <v>15</v>
      </c>
    </row>
    <row r="16" spans="2:13" ht="15.75" thickBot="1" x14ac:dyDescent="0.3">
      <c r="B16" s="4" t="s">
        <v>72</v>
      </c>
      <c r="C16" s="17">
        <v>-2</v>
      </c>
      <c r="D16" s="24" t="s">
        <v>13</v>
      </c>
      <c r="E16" s="9" t="s">
        <v>9</v>
      </c>
      <c r="H16" s="4" t="s">
        <v>69</v>
      </c>
      <c r="I16" s="28">
        <f t="array" ref="I16:I17">MMULT(PM1_M_A,PM1_M_X)</f>
        <v>8</v>
      </c>
      <c r="J16" s="24" t="s">
        <v>19</v>
      </c>
      <c r="K16" s="28" cm="1">
        <f t="array" ref="K16:K17">PM1_M_B</f>
        <v>15</v>
      </c>
      <c r="L16" s="24" t="s">
        <v>13</v>
      </c>
      <c r="M16">
        <f t="array" ref="M16:M17">I16:I17-K16:K17</f>
        <v>-7</v>
      </c>
    </row>
    <row r="17" spans="2:14" ht="15.75" thickBot="1" x14ac:dyDescent="0.3">
      <c r="C17" s="19">
        <v>3</v>
      </c>
      <c r="D17" s="24" t="s">
        <v>13</v>
      </c>
      <c r="E17" s="9" t="s">
        <v>10</v>
      </c>
      <c r="I17" s="29">
        <v>6</v>
      </c>
      <c r="K17" s="29">
        <v>12</v>
      </c>
      <c r="M17">
        <v>-6</v>
      </c>
    </row>
    <row r="18" spans="2:14" x14ac:dyDescent="0.25">
      <c r="M18">
        <f>ABS(M16)+ABS(M17)</f>
        <v>13</v>
      </c>
      <c r="N18" t="s">
        <v>22</v>
      </c>
    </row>
    <row r="20" spans="2:14" x14ac:dyDescent="0.25">
      <c r="C20" s="32" t="s">
        <v>16</v>
      </c>
    </row>
    <row r="21" spans="2:14" ht="15.75" thickBot="1" x14ac:dyDescent="0.3"/>
    <row r="22" spans="2:14" x14ac:dyDescent="0.25">
      <c r="E22" s="25" cm="1">
        <f t="array" ref="E22:E23">PM1_M_B</f>
        <v>15</v>
      </c>
    </row>
    <row r="23" spans="2:14" ht="18" thickBot="1" x14ac:dyDescent="0.3">
      <c r="B23" s="33" t="s">
        <v>20</v>
      </c>
      <c r="E23" s="27">
        <v>12</v>
      </c>
      <c r="I23" t="s">
        <v>14</v>
      </c>
    </row>
    <row r="24" spans="2:14" ht="15.75" thickBot="1" x14ac:dyDescent="0.3">
      <c r="B24" s="31" t="s">
        <v>21</v>
      </c>
      <c r="C24" s="20" cm="1">
        <f t="array" ref="C24:D25">MINVERSE(PM1_M_A)</f>
        <v>-0.99999999999999989</v>
      </c>
      <c r="D24" s="21">
        <v>0.99999999999999989</v>
      </c>
      <c r="E24" s="25">
        <f t="array" ref="E24:E25">MMULT(PM1_M_A_Inv,PM1_M_B)</f>
        <v>-3</v>
      </c>
      <c r="H24" s="3" t="s">
        <v>74</v>
      </c>
      <c r="I24" s="28">
        <f t="array" ref="I24:I25">MMULT(PM1_M_A,PM1_M_X_Inv)</f>
        <v>15</v>
      </c>
      <c r="J24" s="24" t="s">
        <v>13</v>
      </c>
      <c r="K24" s="28" cm="1">
        <f t="array" ref="K24:K25">PM1_M_B</f>
        <v>15</v>
      </c>
      <c r="M24" t="s">
        <v>17</v>
      </c>
    </row>
    <row r="25" spans="2:14" ht="15.75" thickBot="1" x14ac:dyDescent="0.3">
      <c r="C25" s="22">
        <v>0.74999999999999989</v>
      </c>
      <c r="D25" s="23">
        <v>-0.49999999999999989</v>
      </c>
      <c r="E25" s="26">
        <v>5.25</v>
      </c>
      <c r="I25" s="29">
        <v>12</v>
      </c>
      <c r="K25" s="29">
        <v>12</v>
      </c>
    </row>
    <row r="26" spans="2:14" x14ac:dyDescent="0.25">
      <c r="E26" t="s">
        <v>73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55C874F5BC643821249841977F789" ma:contentTypeVersion="3" ma:contentTypeDescription="Crée un document." ma:contentTypeScope="" ma:versionID="c12026b9012716a4139ab5ddf483d23d">
  <xsd:schema xmlns:xsd="http://www.w3.org/2001/XMLSchema" xmlns:xs="http://www.w3.org/2001/XMLSchema" xmlns:p="http://schemas.microsoft.com/office/2006/metadata/properties" xmlns:ns2="fcec40ee-73f9-4c3e-978a-21b5415d1a0e" targetNamespace="http://schemas.microsoft.com/office/2006/metadata/properties" ma:root="true" ma:fieldsID="786a3860986b4dd0aeb240158ced8098" ns2:_="">
    <xsd:import namespace="fcec40ee-73f9-4c3e-978a-21b5415d1a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c40ee-73f9-4c3e-978a-21b5415d1a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F17C9C-7A97-470A-A443-E7A9DDFEF177}"/>
</file>

<file path=customXml/itemProps2.xml><?xml version="1.0" encoding="utf-8"?>
<ds:datastoreItem xmlns:ds="http://schemas.openxmlformats.org/officeDocument/2006/customXml" ds:itemID="{77BE23F7-D3AA-4567-800E-BF3664588C48}"/>
</file>

<file path=customXml/itemProps3.xml><?xml version="1.0" encoding="utf-8"?>
<ds:datastoreItem xmlns:ds="http://schemas.openxmlformats.org/officeDocument/2006/customXml" ds:itemID="{38FF63C7-B491-4A45-8DA7-2FC8428A82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17</vt:i4>
      </vt:variant>
    </vt:vector>
  </HeadingPairs>
  <TitlesOfParts>
    <vt:vector size="20" baseType="lpstr">
      <vt:lpstr>Rappels</vt:lpstr>
      <vt:lpstr>Leçon_1</vt:lpstr>
      <vt:lpstr>Pourquoi les matrices 2</vt:lpstr>
      <vt:lpstr>Leçon_1!M_A</vt:lpstr>
      <vt:lpstr>Leçon_1!M_B</vt:lpstr>
      <vt:lpstr>Leçon_1!M_C</vt:lpstr>
      <vt:lpstr>Leçon_1!M_D</vt:lpstr>
      <vt:lpstr>Leçon_1!M_E</vt:lpstr>
      <vt:lpstr>Leçon_1!M_F</vt:lpstr>
      <vt:lpstr>Leçon_1!M_I</vt:lpstr>
      <vt:lpstr>Leçon_1!M_Ind</vt:lpstr>
      <vt:lpstr>Leçon_1!M_N</vt:lpstr>
      <vt:lpstr>Leçon_1!M_Nulle</vt:lpstr>
      <vt:lpstr>Mat_Colonne</vt:lpstr>
      <vt:lpstr>Mat_Ligne</vt:lpstr>
      <vt:lpstr>'Pourquoi les matrices 2'!PM1_M_A</vt:lpstr>
      <vt:lpstr>'Pourquoi les matrices 2'!PM1_M_A_Inv</vt:lpstr>
      <vt:lpstr>'Pourquoi les matrices 2'!PM1_M_B</vt:lpstr>
      <vt:lpstr>'Pourquoi les matrices 2'!PM1_M_X</vt:lpstr>
      <vt:lpstr>PM1_M_X_Inv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ALF_CEGID</dc:creator>
  <cp:lastModifiedBy>LEFRANCOIS Arnaud</cp:lastModifiedBy>
  <cp:lastPrinted>2022-10-10T08:28:17Z</cp:lastPrinted>
  <dcterms:created xsi:type="dcterms:W3CDTF">2022-10-10T05:07:53Z</dcterms:created>
  <dcterms:modified xsi:type="dcterms:W3CDTF">2025-10-03T11:30:59Z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0x010100BB555C874F5BC643821249841977F789</vt:lpwstr>
  </property>
</Properties>
</file>